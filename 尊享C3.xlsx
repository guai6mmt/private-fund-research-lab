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84111ac66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1" r:id="Rc1836910e36847f6"/>
    <x:sheet xmlns:r="http://schemas.openxmlformats.org/officeDocument/2006/relationships" name="Sheet3" sheetId="2" r:id="R216fa986082940c0"/>
    <x:sheet xmlns:r="http://schemas.openxmlformats.org/officeDocument/2006/relationships" name="时序计算" sheetId="3" r:id="R66efc8a9085d47ab"/>
    <x:sheet xmlns:r="http://schemas.openxmlformats.org/officeDocument/2006/relationships" name="指标计算" sheetId="4" r:id="Re5172ece818b45e5"/>
    <x:sheet xmlns:r="http://schemas.openxmlformats.org/officeDocument/2006/relationships" name="指标说明" sheetId="5" r:id="R179316aeaa0b459d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<x:sst xmlns:x="http://schemas.openxmlformats.org/spreadsheetml/2006/main">
  <x:si>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</x:si>
  <x:si>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净值</x:t>
  </x:si>
  <x:si>
    <x:t xml:space="preserve">基准净值</x:t>
  </x:si>
  <x:si>
    <x:t xml:space="preserve">现金</x:t>
  </x:si>
  <x:si>
    <x:t xml:space="preserve">CTA</x:t>
  </x:si>
  <x:si>
    <x:t xml:space="preserve">指数增强</x:t>
  </x:si>
  <x:si>
    <x:t xml:space="preserve">市场中性</x:t>
  </x:si>
  <x:si>
    <x:t xml:space="preserve">货币市场型</x:t>
  </x:si>
  <x:si>
    <x:t xml:space="preserve">可转债</x:t>
  </x:si>
  <x:si>
    <x:t xml:space="preserve">量化多头</x:t>
  </x:si>
  <x:si>
    <x:t xml:space="preserve">主观选股</x:t>
  </x:si>
  <x:si>
    <x:t xml:space="preserve">套利</x:t>
  </x:si>
  <x:si>
    <x:t xml:space="preserve">债券策略</x:t>
  </x:si>
  <x:si>
    <x:t xml:space="preserve">股票多头</x:t>
  </x:si>
  <x:si>
    <x:t xml:space="preserve">宏观对冲</x:t>
  </x:si>
  <x:si>
    <x:t xml:space="preserve">多策略</x:t>
  </x:si>
  <x:si>
    <x:t xml:space="preserve">2023-05-12</x:t>
  </x:si>
  <x:si>
    <x:t xml:space="preserve">1.0000</x:t>
  </x:si>
  <x:si>
    <x:t xml:space="preserve">1.00000</x:t>
  </x:si>
  <x:si>
    <x:t xml:space="preserve">0.00000</x:t>
  </x:si>
  <x:si>
    <x:t xml:space="preserve">2023-05-19</x:t>
  </x:si>
  <x:si>
    <x:t xml:space="preserve">0.9997</x:t>
  </x:si>
  <x:si>
    <x:t xml:space="preserve">1.0017</x:t>
  </x:si>
  <x:si>
    <x:t xml:space="preserve">0.79990</x:t>
  </x:si>
  <x:si>
    <x:t xml:space="preserve">0.09970</x:t>
  </x:si>
  <x:si>
    <x:t xml:space="preserve">0.10040</x:t>
  </x:si>
  <x:si>
    <x:t xml:space="preserve">2023-05-26</x:t>
  </x:si>
  <x:si>
    <x:t xml:space="preserve">0.9998</x:t>
  </x:si>
  <x:si>
    <x:t xml:space="preserve">0.9780</x:t>
  </x:si>
  <x:si>
    <x:t xml:space="preserve">0.49940</x:t>
  </x:si>
  <x:si>
    <x:t xml:space="preserve">0.10060</x:t>
  </x:si>
  <x:si>
    <x:t xml:space="preserve">0.30020</x:t>
  </x:si>
  <x:si>
    <x:t xml:space="preserve">0.09980</x:t>
  </x:si>
  <x:si>
    <x:t xml:space="preserve">2023-06-02</x:t>
  </x:si>
  <x:si>
    <x:t xml:space="preserve">1.0023</x:t>
  </x:si>
  <x:si>
    <x:t xml:space="preserve">0.9807</x:t>
  </x:si>
  <x:si>
    <x:t xml:space="preserve">0.29840</x:t>
  </x:si>
  <x:si>
    <x:t xml:space="preserve">0.30300</x:t>
  </x:si>
  <x:si>
    <x:t xml:space="preserve">0.09940</x:t>
  </x:si>
  <x:si>
    <x:t xml:space="preserve">0.19950</x:t>
  </x:si>
  <x:si>
    <x:t xml:space="preserve">2023-06-09</x:t>
  </x:si>
  <x:si>
    <x:t xml:space="preserve">0.9971</x:t>
  </x:si>
  <x:si>
    <x:t xml:space="preserve">0.9743</x:t>
  </x:si>
  <x:si>
    <x:t xml:space="preserve">0.24950</x:t>
  </x:si>
  <x:si>
    <x:t xml:space="preserve">0.09810</x:t>
  </x:si>
  <x:si>
    <x:t xml:space="preserve">0.30180</x:t>
  </x:si>
  <x:si>
    <x:t xml:space="preserve">0.09960</x:t>
  </x:si>
  <x:si>
    <x:t xml:space="preserve">0.20070</x:t>
  </x:si>
  <x:si>
    <x:t xml:space="preserve">0.05030</x:t>
  </x:si>
  <x:si>
    <x:t xml:space="preserve">2023-06-16</x:t>
  </x:si>
  <x:si>
    <x:t xml:space="preserve">1.0033</x:t>
  </x:si>
  <x:si>
    <x:t xml:space="preserve">1.0065</x:t>
  </x:si>
  <x:si>
    <x:t xml:space="preserve">0.24760</x:t>
  </x:si>
  <x:si>
    <x:t xml:space="preserve">0.09610</x:t>
  </x:si>
  <x:si>
    <x:t xml:space="preserve">0.30680</x:t>
  </x:si>
  <x:si>
    <x:t xml:space="preserve">0.09920</x:t>
  </x:si>
  <x:si>
    <x:t xml:space="preserve">0.05080</x:t>
  </x:si>
  <x:si>
    <x:t xml:space="preserve">2023-06-21</x:t>
  </x:si>
  <x:si>
    <x:t xml:space="preserve">0.9813</x:t>
  </x:si>
  <x:si>
    <x:t xml:space="preserve">0.19840</x:t>
  </x:si>
  <x:si>
    <x:t xml:space="preserve">0.09700</x:t>
  </x:si>
  <x:si>
    <x:t xml:space="preserve">0.35380</x:t>
  </x:si>
  <x:si>
    <x:t xml:space="preserve">0.09930</x:t>
  </x:si>
  <x:si>
    <x:t xml:space="preserve">0.20080</x:t>
  </x:si>
  <x:si>
    <x:t xml:space="preserve">0.05070</x:t>
  </x:si>
  <x:si>
    <x:t xml:space="preserve">2023-06-30</x:t>
  </x:si>
  <x:si>
    <x:t xml:space="preserve">1.0009</x:t>
  </x:si>
  <x:si>
    <x:t xml:space="preserve">0.9758</x:t>
  </x:si>
  <x:si>
    <x:t xml:space="preserve">0.19720</x:t>
  </x:si>
  <x:si>
    <x:t xml:space="preserve">0.09510</x:t>
  </x:si>
  <x:si>
    <x:t xml:space="preserve">0.35640</x:t>
  </x:si>
  <x:si>
    <x:t xml:space="preserve">0.10030</x:t>
  </x:si>
  <x:si>
    <x:t xml:space="preserve">0.20020</x:t>
  </x:si>
  <x:si>
    <x:t xml:space="preserve">2023-07-07</x:t>
  </x:si>
  <x:si>
    <x:t xml:space="preserve">1.0021</x:t>
  </x:si>
  <x:si>
    <x:t xml:space="preserve">0.9715</x:t>
  </x:si>
  <x:si>
    <x:t xml:space="preserve">0.20240</x:t>
  </x:si>
  <x:si>
    <x:t xml:space="preserve">0.09770</x:t>
  </x:si>
  <x:si>
    <x:t xml:space="preserve">0.35410</x:t>
  </x:si>
  <x:si>
    <x:t xml:space="preserve">0.09490</x:t>
  </x:si>
  <x:si>
    <x:t xml:space="preserve">0.20000</x:t>
  </x:si>
  <x:si>
    <x:t xml:space="preserve">2023-07-14</x:t>
  </x:si>
  <x:si>
    <x:t xml:space="preserve">1.0073</x:t>
  </x:si>
  <x:si>
    <x:t xml:space="preserve">0.9902</x:t>
  </x:si>
  <x:si>
    <x:t xml:space="preserve">0.14580</x:t>
  </x:si>
  <x:si>
    <x:t xml:space="preserve">0.09840</x:t>
  </x:si>
  <x:si>
    <x:t xml:space="preserve">0.35590</x:t>
  </x:si>
  <x:si>
    <x:t xml:space="preserve">0.09990</x:t>
  </x:si>
  <x:si>
    <x:t xml:space="preserve">0.19910</x:t>
  </x:si>
  <x:si>
    <x:t xml:space="preserve">0.05010</x:t>
  </x:si>
  <x:si>
    <x:t xml:space="preserve">2023-07-21</x:t>
  </x:si>
  <x:si>
    <x:t xml:space="preserve">0.9977</x:t>
  </x:si>
  <x:si>
    <x:t xml:space="preserve">0.9706</x:t>
  </x:si>
  <x:si>
    <x:t xml:space="preserve">0.14690</x:t>
  </x:si>
  <x:si>
    <x:t xml:space="preserve">0.35270</x:t>
  </x:si>
  <x:si>
    <x:t xml:space="preserve">0.10130</x:t>
  </x:si>
  <x:si>
    <x:t xml:space="preserve">0.20110</x:t>
  </x:si>
  <x:si>
    <x:t xml:space="preserve">0.05110</x:t>
  </x:si>
  <x:si>
    <x:t xml:space="preserve">0.04930</x:t>
  </x:si>
  <x:si>
    <x:t xml:space="preserve">2023-07-28</x:t>
  </x:si>
  <x:si>
    <x:t xml:space="preserve">1.0057</x:t>
  </x:si>
  <x:si>
    <x:t xml:space="preserve">1.0140</x:t>
  </x:si>
  <x:si>
    <x:t xml:space="preserve">0.04550</x:t>
  </x:si>
  <x:si>
    <x:t xml:space="preserve">0.09710</x:t>
  </x:si>
  <x:si>
    <x:t xml:space="preserve">0.35470</x:t>
  </x:si>
  <x:si>
    <x:t xml:space="preserve">0.10170</x:t>
  </x:si>
  <x:si>
    <x:t xml:space="preserve">0.05120</x:t>
  </x:si>
  <x:si>
    <x:t xml:space="preserve">0.04940</x:t>
  </x:si>
  <x:si>
    <x:t xml:space="preserve">0.10090</x:t>
  </x:si>
  <x:si>
    <x:t xml:space="preserve">2023-08-04</x:t>
  </x:si>
  <x:si>
    <x:t xml:space="preserve">1.0115</x:t>
  </x:si>
  <x:si>
    <x:t xml:space="preserve">1.0210</x:t>
  </x:si>
  <x:si>
    <x:t xml:space="preserve">0.20870</x:t>
  </x:si>
  <x:si>
    <x:t xml:space="preserve">0.09640</x:t>
  </x:si>
  <x:si>
    <x:t xml:space="preserve">0.39090</x:t>
  </x:si>
  <x:si>
    <x:t xml:space="preserve">0.10180</x:t>
  </x:si>
  <x:si>
    <x:t xml:space="preserve">0.05130</x:t>
  </x:si>
  <x:si>
    <x:t xml:space="preserve">0.04980</x:t>
  </x:si>
  <x:si>
    <x:t xml:space="preserve">0.10110</x:t>
  </x:si>
  <x:si>
    <x:t xml:space="preserve">2023-08-11</x:t>
  </x:si>
  <x:si>
    <x:t xml:space="preserve">0.9934</x:t>
  </x:si>
  <x:si>
    <x:t xml:space="preserve">0.9864</x:t>
  </x:si>
  <x:si>
    <x:t xml:space="preserve">0.21220</x:t>
  </x:si>
  <x:si>
    <x:t xml:space="preserve">0.09760</x:t>
  </x:si>
  <x:si>
    <x:t xml:space="preserve">0.38640</x:t>
  </x:si>
  <x:si>
    <x:t xml:space="preserve">0.10250</x:t>
  </x:si>
  <x:si>
    <x:t xml:space="preserve">0.05170</x:t>
  </x:si>
  <x:si>
    <x:t xml:space="preserve">0.04900</x:t>
  </x:si>
  <x:si>
    <x:t xml:space="preserve">0.10050</x:t>
  </x:si>
  <x:si>
    <x:t xml:space="preserve">2023-08-18</x:t>
  </x:si>
  <x:si>
    <x:t xml:space="preserve">0.9849</x:t>
  </x:si>
  <x:si>
    <x:t xml:space="preserve">0.9610</x:t>
  </x:si>
  <x:si>
    <x:t xml:space="preserve">0.20360</x:t>
  </x:si>
  <x:si>
    <x:t xml:space="preserve">0.39360</x:t>
  </x:si>
  <x:si>
    <x:t xml:space="preserve">0.10310</x:t>
  </x:si>
  <x:si>
    <x:t xml:space="preserve">0.05190</x:t>
  </x:si>
  <x:si>
    <x:t xml:space="preserve">0.04880</x:t>
  </x:si>
  <x:si>
    <x:t xml:space="preserve">2023-08-25</x:t>
  </x:si>
  <x:si>
    <x:t xml:space="preserve">0.9673</x:t>
  </x:si>
  <x:si>
    <x:t xml:space="preserve">0.9419</x:t>
  </x:si>
  <x:si>
    <x:t xml:space="preserve">0.20700</x:t>
  </x:si>
  <x:si>
    <x:t xml:space="preserve">0.10160</x:t>
  </x:si>
  <x:si>
    <x:t xml:space="preserve">0.38810</x:t>
  </x:si>
  <x:si>
    <x:t xml:space="preserve">0.10410</x:t>
  </x:si>
  <x:si>
    <x:t xml:space="preserve">0.05180</x:t>
  </x:si>
  <x:si>
    <x:t xml:space="preserve">0.04840</x:t>
  </x:si>
  <x:si>
    <x:t xml:space="preserve">0.09900</x:t>
  </x:si>
  <x:si>
    <x:t xml:space="preserve">2023-08-31</x:t>
  </x:si>
  <x:si>
    <x:t xml:space="preserve">0.9883</x:t>
  </x:si>
  <x:si>
    <x:t xml:space="preserve">0.9562</x:t>
  </x:si>
  <x:si>
    <x:t xml:space="preserve">0.20230</x:t>
  </x:si>
  <x:si>
    <x:t xml:space="preserve">0.39440</x:t>
  </x:si>
  <x:si>
    <x:t xml:space="preserve">0.05160</x:t>
  </x:si>
  <x:si>
    <x:t xml:space="preserve">2023-09-01</x:t>
  </x:si>
  <x:si>
    <x:t xml:space="preserve">0.9912</x:t>
  </x:si>
  <x:si>
    <x:t xml:space="preserve">0.9629</x:t>
  </x:si>
  <x:si>
    <x:t xml:space="preserve">0.20170</x:t>
  </x:si>
  <x:si>
    <x:t xml:space="preserve">0.10100</x:t>
  </x:si>
  <x:si>
    <x:t xml:space="preserve">0.39420</x:t>
  </x:si>
  <x:si>
    <x:t xml:space="preserve">0.10240</x:t>
  </x:si>
  <x:si>
    <x:t xml:space="preserve">0.04890</x:t>
  </x:si>
  <x:si>
    <x:t xml:space="preserve">2023-09-08</x:t>
  </x:si>
  <x:si>
    <x:t xml:space="preserve">0.9905</x:t>
  </x:si>
  <x:si>
    <x:t xml:space="preserve">0.9498</x:t>
  </x:si>
  <x:si>
    <x:t xml:space="preserve">0.20150</x:t>
  </x:si>
  <x:si>
    <x:t xml:space="preserve">0.39340</x:t>
  </x:si>
  <x:si>
    <x:t xml:space="preserve">0.10290</x:t>
  </x:si>
  <x:si>
    <x:t xml:space="preserve">0.04860</x:t>
  </x:si>
  <x:si>
    <x:t xml:space="preserve">2023-09-15</x:t>
  </x:si>
  <x:si>
    <x:t xml:space="preserve">0.9888</x:t>
  </x:si>
  <x:si>
    <x:t xml:space="preserve">0.9418</x:t>
  </x:si>
  <x:si>
    <x:t xml:space="preserve">0.20160</x:t>
  </x:si>
  <x:si>
    <x:t xml:space="preserve">0.10370</x:t>
  </x:si>
  <x:si>
    <x:t xml:space="preserve">0.39230</x:t>
  </x:si>
  <x:si>
    <x:t xml:space="preserve">0.10300</x:t>
  </x:si>
  <x:si>
    <x:t xml:space="preserve">0.05100</x:t>
  </x:si>
  <x:si>
    <x:t xml:space="preserve">0.04870</x:t>
  </x:si>
  <x:si>
    <x:t xml:space="preserve">2023-09-22</x:t>
  </x:si>
  <x:si>
    <x:t xml:space="preserve">0.9886</x:t>
  </x:si>
  <x:si>
    <x:t xml:space="preserve">0.9495</x:t>
  </x:si>
  <x:si>
    <x:t xml:space="preserve">0.10280</x:t>
  </x:si>
  <x:si>
    <x:t xml:space="preserve">0.39390</x:t>
  </x:si>
  <x:si>
    <x:t xml:space="preserve">0.09910</x:t>
  </x:si>
  <x:si>
    <x:t xml:space="preserve">2023-09-28</x:t>
  </x:si>
  <x:si>
    <x:t xml:space="preserve">0.9928</x:t>
  </x:si>
  <x:si>
    <x:t xml:space="preserve">0.9370</x:t>
  </x:si>
  <x:si>
    <x:t xml:space="preserve">0.01000</x:t>
  </x:si>
  <x:si>
    <x:t xml:space="preserve">0.39400</x:t>
  </x:si>
  <x:si>
    <x:t xml:space="preserve">0.10230</x:t>
  </x:si>
  <x:si>
    <x:t xml:space="preserve">0.19040</x:t>
  </x:si>
  <x:si>
    <x:t xml:space="preserve">2023-10-13</x:t>
  </x:si>
  <x:si>
    <x:t xml:space="preserve">0.9899</x:t>
  </x:si>
  <x:si>
    <x:t xml:space="preserve">0.9303</x:t>
  </x:si>
  <x:si>
    <x:t xml:space="preserve">0.20030</x:t>
  </x:si>
  <x:si>
    <x:t xml:space="preserve">0.39280</x:t>
  </x:si>
  <x:si>
    <x:t xml:space="preserve">0.00010</x:t>
  </x:si>
  <x:si>
    <x:t xml:space="preserve">0.04950</x:t>
  </x:si>
  <x:si>
    <x:t xml:space="preserve">0.10140</x:t>
  </x:si>
  <x:si>
    <x:t xml:space="preserve">2023-10-20</x:t>
  </x:si>
  <x:si>
    <x:t xml:space="preserve">0.9632</x:t>
  </x:si>
  <x:si>
    <x:t xml:space="preserve">0.8915</x:t>
  </x:si>
  <x:si>
    <x:t xml:space="preserve">0.20570</x:t>
  </x:si>
  <x:si>
    <x:t xml:space="preserve">0.10570</x:t>
  </x:si>
  <x:si>
    <x:t xml:space="preserve">0.38590</x:t>
  </x:si>
  <x:si>
    <x:t xml:space="preserve">0.10390</x:t>
  </x:si>
  <x:si>
    <x:t xml:space="preserve">0.05090</x:t>
  </x:si>
  <x:si>
    <x:t xml:space="preserve">2023-10-27</x:t>
  </x:si>
  <x:si>
    <x:t xml:space="preserve">0.9047</x:t>
  </x:si>
  <x:si>
    <x:t xml:space="preserve">0.20220</x:t>
  </x:si>
  <x:si>
    <x:t xml:space="preserve">0.38910</x:t>
  </x:si>
  <x:si>
    <x:t xml:space="preserve">0.10360</x:t>
  </x:si>
  <x:si>
    <x:t xml:space="preserve">0.04920</x:t>
  </x:si>
  <x:si>
    <x:t xml:space="preserve">2023-10-31</x:t>
  </x:si>
  <x:si>
    <x:t xml:space="preserve">0.9805</x:t>
  </x:si>
  <x:si>
    <x:t xml:space="preserve">0.9072</x:t>
  </x:si>
  <x:si>
    <x:t xml:space="preserve">0.10330</x:t>
  </x:si>
  <x:si>
    <x:t xml:space="preserve">0.39070</x:t>
  </x:si>
  <x:si>
    <x:t xml:space="preserve">0.10340</x:t>
  </x:si>
  <x:si>
    <x:t xml:space="preserve">2023-11-03</x:t>
  </x:si>
  <x:si>
    <x:t xml:space="preserve">0.9803</x:t>
  </x:si>
  <x:si>
    <x:t xml:space="preserve">0.9102</x:t>
  </x:si>
  <x:si>
    <x:t xml:space="preserve">0.39190</x:t>
  </x:si>
  <x:si>
    <x:t xml:space="preserve">0.10010</x:t>
  </x:si>
  <x:si>
    <x:t xml:space="preserve">2023-11-10</x:t>
  </x:si>
  <x:si>
    <x:t xml:space="preserve">0.9891</x:t>
  </x:si>
  <x:si>
    <x:t xml:space="preserve">0.9108</x:t>
  </x:si>
  <x:si>
    <x:t xml:space="preserve">0.18240</x:t>
  </x:si>
  <x:si>
    <x:t xml:space="preserve">0.41330</x:t>
  </x:si>
  <x:si>
    <x:t xml:space="preserve">2023-11-17</x:t>
  </x:si>
  <x:si>
    <x:t xml:space="preserve">0.9983</x:t>
  </x:si>
  <x:si>
    <x:t xml:space="preserve">0.9061</x:t>
  </x:si>
  <x:si>
    <x:t xml:space="preserve">0.28040</x:t>
  </x:si>
  <x:si>
    <x:t xml:space="preserve">0.41640</x:t>
  </x:si>
  <x:si>
    <x:t xml:space="preserve">0.10210</x:t>
  </x:si>
  <x:si>
    <x:t xml:space="preserve">2023-11-24</x:t>
  </x:si>
  <x:si>
    <x:t xml:space="preserve">0.9943</x:t>
  </x:si>
  <x:si>
    <x:t xml:space="preserve">0.8985</x:t>
  </x:si>
  <x:si>
    <x:t xml:space="preserve">0.18060</x:t>
  </x:si>
  <x:si>
    <x:t xml:space="preserve">0.10000</x:t>
  </x:si>
  <x:si>
    <x:t xml:space="preserve">0.41540</x:t>
  </x:si>
  <x:si>
    <x:t xml:space="preserve">0.05050</x:t>
  </x:si>
  <x:si>
    <x:t xml:space="preserve">2023-11-30</x:t>
  </x:si>
  <x:si>
    <x:t xml:space="preserve">0.9919</x:t>
  </x:si>
  <x:si>
    <x:t xml:space="preserve">0.8879</x:t>
  </x:si>
  <x:si>
    <x:t xml:space="preserve">0.13040</x:t>
  </x:si>
  <x:si>
    <x:t xml:space="preserve">0.41480</x:t>
  </x:si>
  <x:si>
    <x:t xml:space="preserve">2023-12-01</x:t>
  </x:si>
  <x:si>
    <x:t xml:space="preserve">0.9958</x:t>
  </x:si>
  <x:si>
    <x:t xml:space="preserve">0.8845</x:t>
  </x:si>
  <x:si>
    <x:t xml:space="preserve">0.12990</x:t>
  </x:si>
  <x:si>
    <x:t xml:space="preserve">0.41570</x:t>
  </x:si>
  <x:si>
    <x:t xml:space="preserve">0.10270</x:t>
  </x:si>
  <x:si>
    <x:t xml:space="preserve">0.05060</x:t>
  </x:si>
  <x:si>
    <x:t xml:space="preserve">0.10080</x:t>
  </x:si>
  <x:si>
    <x:t xml:space="preserve">2023-12-08</x:t>
  </x:si>
  <x:si>
    <x:t xml:space="preserve">0.9842</x:t>
  </x:si>
  <x:si>
    <x:t xml:space="preserve">0.8633</x:t>
  </x:si>
  <x:si>
    <x:t xml:space="preserve">0.13110</x:t>
  </x:si>
  <x:si>
    <x:t xml:space="preserve">0.10220</x:t>
  </x:si>
  <x:si>
    <x:t xml:space="preserve">0.41310</x:t>
  </x:si>
  <x:si>
    <x:t xml:space="preserve">2023-12-15</x:t>
  </x:si>
  <x:si>
    <x:t xml:space="preserve">0.9816</x:t>
  </x:si>
  <x:si>
    <x:t xml:space="preserve">0.8486</x:t>
  </x:si>
  <x:si>
    <x:t xml:space="preserve">0.14110</x:t>
  </x:si>
  <x:si>
    <x:t xml:space="preserve">0.10190</x:t>
  </x:si>
  <x:si>
    <x:t xml:space="preserve">0.40300</x:t>
  </x:si>
  <x:si>
    <x:t xml:space="preserve">2023-12-22</x:t>
  </x:si>
  <x:si>
    <x:t xml:space="preserve">0.9659</x:t>
  </x:si>
  <x:si>
    <x:t xml:space="preserve">0.8475</x:t>
  </x:si>
  <x:si>
    <x:t xml:space="preserve">0.13310</x:t>
  </x:si>
  <x:si>
    <x:t xml:space="preserve">0.10430</x:t>
  </x:si>
  <x:si>
    <x:t xml:space="preserve">0.40880</x:t>
  </x:si>
  <x:si>
    <x:t xml:space="preserve">0.10380</x:t>
  </x:si>
  <x:si>
    <x:t xml:space="preserve">0.09950</x:t>
  </x:si>
  <x:si>
    <x:t xml:space="preserve">2023-12-29</x:t>
  </x:si>
  <x:si>
    <x:t xml:space="preserve">0.8713</x:t>
  </x:si>
  <x:si>
    <x:t xml:space="preserve">0.02500</x:t>
  </x:si>
  <x:si>
    <x:t xml:space="preserve">0.41700</x:t>
  </x:si>
  <x:si>
    <x:t xml:space="preserve">0.05150</x:t>
  </x:si>
  <x:si>
    <x:t xml:space="preserve">2024-01-05</x:t>
  </x:si>
  <x:si>
    <x:t xml:space="preserve">0.9654</x:t>
  </x:si>
  <x:si>
    <x:t xml:space="preserve">0.8454</x:t>
  </x:si>
  <x:si>
    <x:t xml:space="preserve">0.12870</x:t>
  </x:si>
  <x:si>
    <x:t xml:space="preserve">0.41450</x:t>
  </x:si>
  <x:si>
    <x:t xml:space="preserve">0.10460</x:t>
  </x:si>
  <x:si>
    <x:t xml:space="preserve">0.09720</x:t>
  </x:si>
  <x:si>
    <x:t xml:space="preserve">2024-01-12</x:t>
  </x:si>
  <x:si>
    <x:t xml:space="preserve">0.9592</x:t>
  </x:si>
  <x:si>
    <x:t xml:space="preserve">0.8340</x:t>
  </x:si>
  <x:si>
    <x:t xml:space="preserve">0.12920</x:t>
  </x:si>
  <x:si>
    <x:t xml:space="preserve">0.41300</x:t>
  </x:si>
  <x:si>
    <x:t xml:space="preserve">0.10530</x:t>
  </x:si>
  <x:si>
    <x:t xml:space="preserve">0.09850</x:t>
  </x:si>
  <x:si>
    <x:t xml:space="preserve">2024-01-19</x:t>
  </x:si>
  <x:si>
    <x:t xml:space="preserve">0.9332</x:t>
  </x:si>
  <x:si>
    <x:t xml:space="preserve">0.8304</x:t>
  </x:si>
  <x:si>
    <x:t xml:space="preserve">0.13360</x:t>
  </x:si>
  <x:si>
    <x:t xml:space="preserve">0.10520</x:t>
  </x:si>
  <x:si>
    <x:t xml:space="preserve">0.40610</x:t>
  </x:si>
  <x:si>
    <x:t xml:space="preserve">0.10760</x:t>
  </x:si>
  <x:si>
    <x:t xml:space="preserve">0.09820</x:t>
  </x:si>
  <x:si>
    <x:t xml:space="preserve">0.09750</x:t>
  </x:si>
  <x:si>
    <x:t xml:space="preserve">2024-01-26</x:t>
  </x:si>
  <x:si>
    <x:t xml:space="preserve">0.9300</x:t>
  </x:si>
  <x:si>
    <x:t xml:space="preserve">0.8466</x:t>
  </x:si>
  <x:si>
    <x:t xml:space="preserve">0.02620</x:t>
  </x:si>
  <x:si>
    <x:t xml:space="preserve">0.10580</x:t>
  </x:si>
  <x:si>
    <x:t xml:space="preserve">0.40640</x:t>
  </x:si>
  <x:si>
    <x:t xml:space="preserve">0.05140</x:t>
  </x:si>
  <x:si>
    <x:t xml:space="preserve">0.09830</x:t>
  </x:si>
  <x:si>
    <x:t xml:space="preserve">0.09730</x:t>
  </x:si>
  <x:si>
    <x:t xml:space="preserve">0.10700</x:t>
  </x:si>
  <x:si>
    <x:t xml:space="preserve">2024-01-31</x:t>
  </x:si>
  <x:si>
    <x:t xml:space="preserve">0.8745</x:t>
  </x:si>
  <x:si>
    <x:t xml:space="preserve">0.8165</x:t>
  </x:si>
  <x:si>
    <x:t xml:space="preserve">0.02770</x:t>
  </x:si>
  <x:si>
    <x:t xml:space="preserve">0.11160</x:t>
  </x:si>
  <x:si>
    <x:t xml:space="preserve">0.39130</x:t>
  </x:si>
  <x:si>
    <x:t xml:space="preserve">0.11310</x:t>
  </x:si>
  <x:si>
    <x:t xml:space="preserve">0.05200</x:t>
  </x:si>
  <x:si>
    <x:t xml:space="preserve">0.09480</x:t>
  </x:si>
  <x:si>
    <x:t xml:space="preserve">0.09630</x:t>
  </x:si>
  <x:si>
    <x:t xml:space="preserve">0.11320</x:t>
  </x:si>
  <x:si>
    <x:t xml:space="preserve">2024-02-02</x:t>
  </x:si>
  <x:si>
    <x:t xml:space="preserve">0.8536</x:t>
  </x:si>
  <x:si>
    <x:t xml:space="preserve">0.8075</x:t>
  </x:si>
  <x:si>
    <x:t xml:space="preserve">0.12590</x:t>
  </x:si>
  <x:si>
    <x:t xml:space="preserve">0.11350</x:t>
  </x:si>
  <x:si>
    <x:t xml:space="preserve">0.28820</x:t>
  </x:si>
  <x:si>
    <x:t xml:space="preserve">0.11660</x:t>
  </x:si>
  <x:si>
    <x:t xml:space="preserve">0.05280</x:t>
  </x:si>
  <x:si>
    <x:t xml:space="preserve">0.09210</x:t>
  </x:si>
  <x:si>
    <x:t xml:space="preserve">0.11590</x:t>
  </x:si>
  <x:si>
    <x:t xml:space="preserve">2024-02-08</x:t>
  </x:si>
  <x:si>
    <x:t xml:space="preserve">0.8524</x:t>
  </x:si>
  <x:si>
    <x:t xml:space="preserve">0.8545</x:t>
  </x:si>
  <x:si>
    <x:t xml:space="preserve">0.42010</x:t>
  </x:si>
  <x:si>
    <x:t xml:space="preserve">0.11460</x:t>
  </x:si>
  <x:si>
    <x:t xml:space="preserve">0.09280</x:t>
  </x:si>
  <x:si>
    <x:t xml:space="preserve">0.11730</x:t>
  </x:si>
  <x:si>
    <x:t xml:space="preserve">2024-02-23</x:t>
  </x:si>
  <x:si>
    <x:t xml:space="preserve">0.8737</x:t>
  </x:si>
  <x:si>
    <x:t xml:space="preserve">0.8862</x:t>
  </x:si>
  <x:si>
    <x:t xml:space="preserve">0.29480</x:t>
  </x:si>
  <x:si>
    <x:t xml:space="preserve">0.11100</x:t>
  </x:si>
  <x:si>
    <x:t xml:space="preserve">0.21500</x:t>
  </x:si>
  <x:si>
    <x:t xml:space="preserve">0.05260</x:t>
  </x:si>
  <x:si>
    <x:t xml:space="preserve">0.11420</x:t>
  </x:si>
  <x:si>
    <x:t xml:space="preserve">0.11470</x:t>
  </x:si>
  <x:si>
    <x:t xml:space="preserve">2024-02-29</x:t>
  </x:si>
  <x:si>
    <x:t xml:space="preserve">0.8786</x:t>
  </x:si>
  <x:si>
    <x:t xml:space="preserve">0.8929</x:t>
  </x:si>
  <x:si>
    <x:t xml:space="preserve">0.27620</x:t>
  </x:si>
  <x:si>
    <x:t xml:space="preserve">0.10990</x:t>
  </x:si>
  <x:si>
    <x:t xml:space="preserve">0.33400</x:t>
  </x:si>
  <x:si>
    <x:t xml:space="preserve">0.05250</x:t>
  </x:si>
  <x:si>
    <x:t xml:space="preserve">0.11330</x:t>
  </x:si>
  <x:si>
    <x:t xml:space="preserve">0.11400</x:t>
  </x:si>
  <x:si>
    <x:t xml:space="preserve">2024-03-01</x:t>
  </x:si>
  <x:si>
    <x:t xml:space="preserve">0.8821</x:t>
  </x:si>
  <x:si>
    <x:t xml:space="preserve">0.8984</x:t>
  </x:si>
  <x:si>
    <x:t xml:space="preserve">0.27510</x:t>
  </x:si>
  <x:si>
    <x:t xml:space="preserve">0.10930</x:t>
  </x:si>
  <x:si>
    <x:t xml:space="preserve">0.33640</x:t>
  </x:si>
  <x:si>
    <x:t xml:space="preserve">0.05240</x:t>
  </x:si>
  <x:si>
    <x:t xml:space="preserve">0.11370</x:t>
  </x:si>
  <x:si>
    <x:t xml:space="preserve">2024-03-08</x:t>
  </x:si>
  <x:si>
    <x:t xml:space="preserve">0.8823</x:t>
  </x:si>
  <x:si>
    <x:t xml:space="preserve">0.9002</x:t>
  </x:si>
  <x:si>
    <x:t xml:space="preserve">0.27070</x:t>
  </x:si>
  <x:si>
    <x:t xml:space="preserve">0.11280</x:t>
  </x:si>
  <x:si>
    <x:t xml:space="preserve">0.11390</x:t>
  </x:si>
  <x:si>
    <x:t xml:space="preserve">0.11410</x:t>
  </x:si>
  <x:si>
    <x:t xml:space="preserve">2024-03-15</x:t>
  </x:si>
  <x:si>
    <x:t xml:space="preserve">0.8933</x:t>
  </x:si>
  <x:si>
    <x:t xml:space="preserve">0.9066</x:t>
  </x:si>
  <x:si>
    <x:t xml:space="preserve">0.15510</x:t>
  </x:si>
  <x:si>
    <x:t xml:space="preserve">0.11210</x:t>
  </x:si>
  <x:si>
    <x:t xml:space="preserve">0.34310</x:t>
  </x:si>
  <x:si>
    <x:t xml:space="preserve">0.11220</x:t>
  </x:si>
  <x:si>
    <x:t xml:space="preserve">0.11270</x:t>
  </x:si>
  <x:si>
    <x:t xml:space="preserve">2024-03-22</x:t>
  </x:si>
  <x:si>
    <x:t xml:space="preserve">0.8982</x:t>
  </x:si>
  <x:si>
    <x:t xml:space="preserve">0.9003</x:t>
  </x:si>
  <x:si>
    <x:t xml:space="preserve">0.04280</x:t>
  </x:si>
  <x:si>
    <x:t xml:space="preserve">0.11170</x:t>
  </x:si>
  <x:si>
    <x:t xml:space="preserve">0.34360</x:t>
  </x:si>
  <x:si>
    <x:t xml:space="preserve">0.22470</x:t>
  </x:si>
  <x:si>
    <x:t xml:space="preserve">2024-03-29</x:t>
  </x:si>
  <x:si>
    <x:t xml:space="preserve">0.8934</x:t>
  </x:si>
  <x:si>
    <x:t xml:space="preserve">0.8983</x:t>
  </x:si>
  <x:si>
    <x:t xml:space="preserve">0.04270</x:t>
  </x:si>
  <x:si>
    <x:t xml:space="preserve">0.33980</x:t>
  </x:si>
  <x:si>
    <x:t xml:space="preserve">0.22480</x:t>
  </x:si>
  <x:si>
    <x:t xml:space="preserve">2024-04-03</x:t>
  </x:si>
  <x:si>
    <x:t xml:space="preserve">0.8980</x:t>
  </x:si>
  <x:si>
    <x:t xml:space="preserve">0.9060</x:t>
  </x:si>
  <x:si>
    <x:t xml:space="preserve">0.15450</x:t>
  </x:si>
  <x:si>
    <x:t xml:space="preserve">0.11290</x:t>
  </x:si>
  <x:si>
    <x:t xml:space="preserve">0.34280</x:t>
  </x:si>
  <x:si>
    <x:t xml:space="preserve">0.11380</x:t>
  </x:si>
  <x:si>
    <x:t xml:space="preserve">0.05220</x:t>
  </x:si>
  <x:si>
    <x:t xml:space="preserve">0.22380</x:t>
  </x:si>
  <x:si>
    <x:t xml:space="preserve">2024-04-12</x:t>
  </x:si>
  <x:si>
    <x:t xml:space="preserve">0.8902</x:t>
  </x:si>
  <x:si>
    <x:t xml:space="preserve">0.8827</x:t>
  </x:si>
  <x:si>
    <x:t xml:space="preserve">0.15550</x:t>
  </x:si>
  <x:si>
    <x:t xml:space="preserve">0.11450</x:t>
  </x:si>
  <x:si>
    <x:t xml:space="preserve">0.33810</x:t>
  </x:si>
  <x:si>
    <x:t xml:space="preserve">0.11490</x:t>
  </x:si>
  <x:si>
    <x:t xml:space="preserve">0.05270</x:t>
  </x:si>
  <x:si>
    <x:t xml:space="preserve">0.22430</x:t>
  </x:si>
  <x:si>
    <x:t xml:space="preserve">2024-04-19</x:t>
  </x:si>
  <x:si>
    <x:t xml:space="preserve">0.8867</x:t>
  </x:si>
  <x:si>
    <x:t xml:space="preserve">0.8994</x:t>
  </x:si>
  <x:si>
    <x:t xml:space="preserve">0.15580</x:t>
  </x:si>
  <x:si>
    <x:t xml:space="preserve">0.11880</x:t>
  </x:si>
  <x:si>
    <x:t xml:space="preserve">0.33610</x:t>
  </x:si>
  <x:si>
    <x:t xml:space="preserve">0.22300</x:t>
  </x:si>
  <x:si>
    <x:t xml:space="preserve">2024-04-26</x:t>
  </x:si>
  <x:si>
    <x:t xml:space="preserve">0.8944</x:t>
  </x:si>
  <x:si>
    <x:t xml:space="preserve">0.15420</x:t>
  </x:si>
  <x:si>
    <x:t xml:space="preserve">0.11780</x:t>
  </x:si>
  <x:si>
    <x:t xml:space="preserve">0.34110</x:t>
  </x:si>
  <x:si>
    <x:t xml:space="preserve">0.11300</x:t>
  </x:si>
  <x:si>
    <x:t xml:space="preserve">0.22140</x:t>
  </x:si>
  <x:si>
    <x:t xml:space="preserve">2024-04-30</x:t>
  </x:si>
  <x:si>
    <x:t xml:space="preserve">0.8990</x:t>
  </x:si>
  <x:si>
    <x:t xml:space="preserve">0.9153</x:t>
  </x:si>
  <x:si>
    <x:t xml:space="preserve">0.15330</x:t>
  </x:si>
  <x:si>
    <x:t xml:space="preserve">0.11650</x:t>
  </x:si>
  <x:si>
    <x:t xml:space="preserve">0.34400</x:t>
  </x:si>
  <x:si>
    <x:t xml:space="preserve">0.22150</x:t>
  </x:si>
  <x:si>
    <x:t xml:space="preserve">2024-05-10</x:t>
  </x:si>
  <x:si>
    <x:t xml:space="preserve">0.9311</x:t>
  </x:si>
  <x:si>
    <x:t xml:space="preserve">0.04120</x:t>
  </x:si>
  <x:si>
    <x:t xml:space="preserve">0.11480</x:t>
  </x:si>
  <x:si>
    <x:t xml:space="preserve">0.34680</x:t>
  </x:si>
  <x:si>
    <x:t xml:space="preserve">0.11190</x:t>
  </x:si>
  <x:si>
    <x:t xml:space="preserve">0.22190</x:t>
  </x:si>
  <x:si>
    <x:t xml:space="preserve">0.11040</x:t>
  </x:si>
  <x:si>
    <x:t xml:space="preserve">2024-05-17</x:t>
  </x:si>
  <x:si>
    <x:t xml:space="preserve">0.9054</x:t>
  </x:si>
  <x:si>
    <x:t xml:space="preserve">0.9340</x:t>
  </x:si>
  <x:si>
    <x:t xml:space="preserve">0.15160</x:t>
  </x:si>
  <x:si>
    <x:t xml:space="preserve">0.11440</x:t>
  </x:si>
  <x:si>
    <x:t xml:space="preserve">0.34730</x:t>
  </x:si>
  <x:si>
    <x:t xml:space="preserve">0.05290</x:t>
  </x:si>
  <x:si>
    <x:t xml:space="preserve">0.22090</x:t>
  </x:si>
  <x:si>
    <x:t xml:space="preserve">2024-05-24</x:t>
  </x:si>
  <x:si>
    <x:t xml:space="preserve">0.8937</x:t>
  </x:si>
  <x:si>
    <x:t xml:space="preserve">0.9146</x:t>
  </x:si>
  <x:si>
    <x:t xml:space="preserve">0.09500</x:t>
  </x:si>
  <x:si>
    <x:t xml:space="preserve">0.11520</x:t>
  </x:si>
  <x:si>
    <x:t xml:space="preserve">0.34200</x:t>
  </x:si>
  <x:si>
    <x:t xml:space="preserve">0.10850</x:t>
  </x:si>
  <x:si>
    <x:t xml:space="preserve">0.22530</x:t>
  </x:si>
  <x:si>
    <x:t xml:space="preserve">2024-05-31</x:t>
  </x:si>
  <x:si>
    <x:t xml:space="preserve">0.8925</x:t>
  </x:si>
  <x:si>
    <x:t xml:space="preserve">0.9091</x:t>
  </x:si>
  <x:si>
    <x:t xml:space="preserve">0.11540</x:t>
  </x:si>
  <x:si>
    <x:t xml:space="preserve">0.34380</x:t>
  </x:si>
  <x:si>
    <x:t xml:space="preserve">0.10630</x:t>
  </x:si>
  <x:si>
    <x:t xml:space="preserve">0.22510</x:t>
  </x:si>
  <x:si>
    <x:t xml:space="preserve">2024-06-07</x:t>
  </x:si>
  <x:si>
    <x:t xml:space="preserve">0.8801</x:t>
  </x:si>
  <x:si>
    <x:t xml:space="preserve">0.9077</x:t>
  </x:si>
  <x:si>
    <x:t xml:space="preserve">0.03900</x:t>
  </x:si>
  <x:si>
    <x:t xml:space="preserve">0.11740</x:t>
  </x:si>
  <x:si>
    <x:t xml:space="preserve">0.33570</x:t>
  </x:si>
  <x:si>
    <x:t xml:space="preserve">0.10950</x:t>
  </x:si>
  <x:si>
    <x:t xml:space="preserve">0.22780</x:t>
  </x:si>
  <x:si>
    <x:t xml:space="preserve">0.05690</x:t>
  </x:si>
  <x:si>
    <x:t xml:space="preserve">2024-06-14</x:t>
  </x:si>
  <x:si>
    <x:t xml:space="preserve">0.8803</x:t>
  </x:si>
  <x:si>
    <x:t xml:space="preserve">0.03870</x:t>
  </x:si>
  <x:si>
    <x:t xml:space="preserve">0.10680</x:t>
  </x:si>
  <x:si>
    <x:t xml:space="preserve">0.22790</x:t>
  </x:si>
  <x:si>
    <x:t xml:space="preserve">0.05700</x:t>
  </x:si>
  <x:si>
    <x:t xml:space="preserve">2024-06-21</x:t>
  </x:si>
  <x:si>
    <x:t xml:space="preserve">0.8758</x:t>
  </x:si>
  <x:si>
    <x:t xml:space="preserve">0.8877</x:t>
  </x:si>
  <x:si>
    <x:t xml:space="preserve">0.11840</x:t>
  </x:si>
  <x:si>
    <x:t xml:space="preserve">0.33420</x:t>
  </x:si>
  <x:si>
    <x:t xml:space="preserve">0.11550</x:t>
  </x:si>
  <x:si>
    <x:t xml:space="preserve">0.10660</x:t>
  </x:si>
  <x:si>
    <x:t xml:space="preserve">0.22930</x:t>
  </x:si>
  <x:si>
    <x:t xml:space="preserve">0.05730</x:t>
  </x:si>
  <x:si>
    <x:t xml:space="preserve">2024-06-28</x:t>
  </x:si>
  <x:si>
    <x:t xml:space="preserve">0.8695</x:t>
  </x:si>
  <x:si>
    <x:t xml:space="preserve">0.8791</x:t>
  </x:si>
  <x:si>
    <x:t xml:space="preserve">0.03860</x:t>
  </x:si>
  <x:si>
    <x:t xml:space="preserve">0.11950</x:t>
  </x:si>
  <x:si>
    <x:t xml:space="preserve">0.33050</x:t>
  </x:si>
  <x:si>
    <x:t xml:space="preserve">0.23050</x:t>
  </x:si>
  <x:si>
    <x:t xml:space="preserve">0.05780</x:t>
  </x:si>
  <x:si>
    <x:t xml:space="preserve">2024-07-05</x:t>
  </x:si>
  <x:si>
    <x:t xml:space="preserve">0.8676</x:t>
  </x:si>
  <x:si>
    <x:t xml:space="preserve">0.13420</x:t>
  </x:si>
  <x:si>
    <x:t xml:space="preserve">0.12070</x:t>
  </x:si>
  <x:si>
    <x:t xml:space="preserve">0.32710</x:t>
  </x:si>
  <x:si>
    <x:t xml:space="preserve">0.11750</x:t>
  </x:si>
  <x:si>
    <x:t xml:space="preserve">0.10720</x:t>
  </x:si>
  <x:si>
    <x:t xml:space="preserve">0.19330</x:t>
  </x:si>
  <x:si>
    <x:t xml:space="preserve">2024-07-12</x:t>
  </x:si>
  <x:si>
    <x:t xml:space="preserve">0.8731</x:t>
  </x:si>
  <x:si>
    <x:t xml:space="preserve">0.8818</x:t>
  </x:si>
  <x:si>
    <x:t xml:space="preserve">0.11910</x:t>
  </x:si>
  <x:si>
    <x:t xml:space="preserve">0.33070</x:t>
  </x:si>
  <x:si>
    <x:t xml:space="preserve">0.11720</x:t>
  </x:si>
  <x:si>
    <x:t xml:space="preserve">0.10790</x:t>
  </x:si>
  <x:si>
    <x:t xml:space="preserve">0.19200</x:t>
  </x:si>
  <x:si>
    <x:t xml:space="preserve">2024-07-19</x:t>
  </x:si>
  <x:si>
    <x:t xml:space="preserve">0.8987</x:t>
  </x:si>
  <x:si>
    <x:t xml:space="preserve">0.13430</x:t>
  </x:si>
  <x:si>
    <x:t xml:space="preserve">0.11980</x:t>
  </x:si>
  <x:si>
    <x:t xml:space="preserve">0.32990</x:t>
  </x:si>
  <x:si>
    <x:t xml:space="preserve">0.10450</x:t>
  </x:si>
  <x:si>
    <x:t xml:space="preserve">0.19400</x:t>
  </x:si>
  <x:si>
    <x:t xml:space="preserve">2024-07-26</x:t>
  </x:si>
  <x:si>
    <x:t xml:space="preserve">0.8518</x:t>
  </x:si>
  <x:si>
    <x:t xml:space="preserve">0.8658</x:t>
  </x:si>
  <x:si>
    <x:t xml:space="preserve">0.13130</x:t>
  </x:si>
  <x:si>
    <x:t xml:space="preserve">0.12240</x:t>
  </x:si>
  <x:si>
    <x:t xml:space="preserve">0.32930</x:t>
  </x:si>
  <x:si>
    <x:t xml:space="preserve">0.11900</x:t>
  </x:si>
  <x:si>
    <x:t xml:space="preserve">0.19700</x:t>
  </x:si>
  <x:si>
    <x:t xml:space="preserve">2024-07-31</x:t>
  </x:si>
  <x:si>
    <x:t xml:space="preserve">0.8607</x:t>
  </x:si>
  <x:si>
    <x:t xml:space="preserve">0.8741</x:t>
  </x:si>
  <x:si>
    <x:t xml:space="preserve">0.12090</x:t>
  </x:si>
  <x:si>
    <x:t xml:space="preserve">0.33480</x:t>
  </x:si>
  <x:si>
    <x:t xml:space="preserve">0.11530</x:t>
  </x:si>
  <x:si>
    <x:t xml:space="preserve">0.19600</x:t>
  </x:si>
  <x:si>
    <x:t xml:space="preserve">2024-08-02</x:t>
  </x:si>
  <x:si>
    <x:t xml:space="preserve">0.8550</x:t>
  </x:si>
  <x:si>
    <x:t xml:space="preserve">0.8595</x:t>
  </x:si>
  <x:si>
    <x:t xml:space="preserve">0.13210</x:t>
  </x:si>
  <x:si>
    <x:t xml:space="preserve">0.12170</x:t>
  </x:si>
  <x:si>
    <x:t xml:space="preserve">0.33240</x:t>
  </x:si>
  <x:si>
    <x:t xml:space="preserve">0.19740</x:t>
  </x:si>
  <x:si>
    <x:t xml:space="preserve">2024-08-09</x:t>
  </x:si>
  <x:si>
    <x:t xml:space="preserve">0.8501</x:t>
  </x:si>
  <x:si>
    <x:t xml:space="preserve">0.8461</x:t>
  </x:si>
  <x:si>
    <x:t xml:space="preserve">0.07370</x:t>
  </x:si>
  <x:si>
    <x:t xml:space="preserve">0.12280</x:t>
  </x:si>
  <x:si>
    <x:t xml:space="preserve">0.32900</x:t>
  </x:si>
  <x:si>
    <x:t xml:space="preserve">0.11690</x:t>
  </x:si>
  <x:si>
    <x:t xml:space="preserve">0.19830</x:t>
  </x:si>
  <x:si>
    <x:t xml:space="preserve">0.05880</x:t>
  </x:si>
  <x:si>
    <x:t xml:space="preserve">2024-08-16</x:t>
  </x:si>
  <x:si>
    <x:t xml:space="preserve">0.8496</x:t>
  </x:si>
  <x:si>
    <x:t xml:space="preserve">0.04970</x:t>
  </x:si>
  <x:si>
    <x:t xml:space="preserve">0.12510</x:t>
  </x:si>
  <x:si>
    <x:t xml:space="preserve">0.32790</x:t>
  </x:si>
  <x:si>
    <x:t xml:space="preserve">0.11710</x:t>
  </x:si>
  <x:si>
    <x:t xml:space="preserve">0.20900</x:t>
  </x:si>
  <x:si>
    <x:t xml:space="preserve">0.07020</x:t>
  </x:si>
  <x:si>
    <x:t xml:space="preserve">2024-08-23</x:t>
  </x:si>
  <x:si>
    <x:t xml:space="preserve">0.8474</x:t>
  </x:si>
  <x:si>
    <x:t xml:space="preserve">0.8449</x:t>
  </x:si>
  <x:si>
    <x:t xml:space="preserve">0.12530</x:t>
  </x:si>
  <x:si>
    <x:t xml:space="preserve">0.32370</x:t>
  </x:si>
  <x:si>
    <x:t xml:space="preserve">0.11810</x:t>
  </x:si>
  <x:si>
    <x:t xml:space="preserve">0.21020</x:t>
  </x:si>
  <x:si>
    <x:t xml:space="preserve">0.07070</x:t>
  </x:si>
  <x:si>
    <x:t xml:space="preserve">2024-08-30</x:t>
  </x:si>
  <x:si>
    <x:t xml:space="preserve">0.8435</x:t>
  </x:si>
  <x:si>
    <x:t xml:space="preserve">0.15740</x:t>
  </x:si>
  <x:si>
    <x:t xml:space="preserve">0.12540</x:t>
  </x:si>
  <x:si>
    <x:t xml:space="preserve">0.21710</x:t>
  </x:si>
  <x:si>
    <x:t xml:space="preserve">0.20970</x:t>
  </x:si>
  <x:si>
    <x:t xml:space="preserve">2024-09-06</x:t>
  </x:si>
  <x:si>
    <x:t xml:space="preserve">0.8408</x:t>
  </x:si>
  <x:si>
    <x:t xml:space="preserve">0.8206</x:t>
  </x:si>
  <x:si>
    <x:t xml:space="preserve">0.15830</x:t>
  </x:si>
  <x:si>
    <x:t xml:space="preserve">0.12760</x:t>
  </x:si>
  <x:si>
    <x:t xml:space="preserve">0.21380</x:t>
  </x:si>
  <x:si>
    <x:t xml:space="preserve">0.11870</x:t>
  </x:si>
  <x:si>
    <x:t xml:space="preserve">0.20990</x:t>
  </x:si>
  <x:si>
    <x:t xml:space="preserve">0.07130</x:t>
  </x:si>
  <x:si>
    <x:t xml:space="preserve">2024-09-13</x:t>
  </x:si>
  <x:si>
    <x:t xml:space="preserve">0.8370</x:t>
  </x:si>
  <x:si>
    <x:t xml:space="preserve">0.8023</x:t>
  </x:si>
  <x:si>
    <x:t xml:space="preserve">0.05720</x:t>
  </x:si>
  <x:si>
    <x:t xml:space="preserve">0.17690</x:t>
  </x:si>
  <x:si>
    <x:t xml:space="preserve">0.21060</x:t>
  </x:si>
  <x:si>
    <x:t xml:space="preserve">0.11920</x:t>
  </x:si>
  <x:si>
    <x:t xml:space="preserve">0.21090</x:t>
  </x:si>
  <x:si>
    <x:t xml:space="preserve">2024-09-20</x:t>
  </x:si>
  <x:si>
    <x:t xml:space="preserve">0.8452</x:t>
  </x:si>
  <x:si>
    <x:t xml:space="preserve">0.8129</x:t>
  </x:si>
  <x:si>
    <x:t xml:space="preserve">0.13460</x:t>
  </x:si>
  <x:si>
    <x:t xml:space="preserve">0.17820</x:t>
  </x:si>
  <x:si>
    <x:t xml:space="preserve">0.21130</x:t>
  </x:si>
  <x:si>
    <x:t xml:space="preserve">0.15360</x:t>
  </x:si>
  <x:si>
    <x:t xml:space="preserve">0.12420</x:t>
  </x:si>
  <x:si>
    <x:t xml:space="preserve">2024-09-27</x:t>
  </x:si>
  <x:si>
    <x:t xml:space="preserve">0.8805</x:t>
  </x:si>
  <x:si>
    <x:t xml:space="preserve">0.9406</x:t>
  </x:si>
  <x:si>
    <x:t xml:space="preserve">0.12900</x:t>
  </x:si>
  <x:si>
    <x:t xml:space="preserve">0.16750</x:t>
  </x:si>
  <x:si>
    <x:t xml:space="preserve">0.23190</x:t>
  </x:si>
  <x:si>
    <x:t xml:space="preserve">0.13890</x:t>
  </x:si>
  <x:si>
    <x:t xml:space="preserve">2024-09-30</x:t>
  </x:si>
  <x:si>
    <x:t xml:space="preserve">0.9005</x:t>
  </x:si>
  <x:si>
    <x:t xml:space="preserve">1.0203</x:t>
  </x:si>
  <x:si>
    <x:t xml:space="preserve">0.12600</x:t>
  </x:si>
  <x:si>
    <x:t xml:space="preserve">0.16110</x:t>
  </x:si>
  <x:si>
    <x:t xml:space="preserve">0.24300</x:t>
  </x:si>
  <x:si>
    <x:t xml:space="preserve">0.13520</x:t>
  </x:si>
  <x:si>
    <x:t xml:space="preserve">0.10120</x:t>
  </x:si>
  <x:si>
    <x:t xml:space="preserve">0.11610</x:t>
  </x:si>
  <x:si>
    <x:t xml:space="preserve">2024-10-11</x:t>
  </x:si>
  <x:si>
    <x:t xml:space="preserve">0.8940</x:t>
  </x:si>
  <x:si>
    <x:t xml:space="preserve">0.9872</x:t>
  </x:si>
  <x:si>
    <x:t xml:space="preserve">0.15940</x:t>
  </x:si>
  <x:si>
    <x:t xml:space="preserve">0.16250</x:t>
  </x:si>
  <x:si>
    <x:t xml:space="preserve">0.23430</x:t>
  </x:si>
  <x:si>
    <x:t xml:space="preserve">0.13860</x:t>
  </x:si>
  <x:si>
    <x:t xml:space="preserve">0.06140</x:t>
  </x:si>
  <x:si>
    <x:t xml:space="preserve">0.01070</x:t>
  </x:si>
  <x:si>
    <x:t xml:space="preserve">2024-10-18</x:t>
  </x:si>
  <x:si>
    <x:t xml:space="preserve">0.8927</x:t>
  </x:si>
  <x:si>
    <x:t xml:space="preserve">0.9968</x:t>
  </x:si>
  <x:si>
    <x:t xml:space="preserve">0.05800</x:t>
  </x:si>
  <x:si>
    <x:t xml:space="preserve">0.15990</x:t>
  </x:si>
  <x:si>
    <x:t xml:space="preserve">0.24170</x:t>
  </x:si>
  <x:si>
    <x:t xml:space="preserve">0.13620</x:t>
  </x:si>
  <x:si>
    <x:t xml:space="preserve">0.12910</x:t>
  </x:si>
  <x:si>
    <x:t xml:space="preserve">0.06180</x:t>
  </x:si>
  <x:si>
    <x:t xml:space="preserve">0.11230</x:t>
  </x:si>
  <x:si>
    <x:t xml:space="preserve">2024-10-25</x:t>
  </x:si>
  <x:si>
    <x:t xml:space="preserve">0.8992</x:t>
  </x:si>
  <x:si>
    <x:t xml:space="preserve">1.0047</x:t>
  </x:si>
  <x:si>
    <x:t xml:space="preserve">0.15860</x:t>
  </x:si>
  <x:si>
    <x:t xml:space="preserve">0.24600</x:t>
  </x:si>
  <x:si>
    <x:t xml:space="preserve">0.13810</x:t>
  </x:si>
  <x:si>
    <x:t xml:space="preserve">0.12640</x:t>
  </x:si>
  <x:si>
    <x:t xml:space="preserve">0.06130</x:t>
  </x:si>
  <x:si>
    <x:t xml:space="preserve">2024-10-31</x:t>
  </x:si>
  <x:si>
    <x:t xml:space="preserve">0.8971</x:t>
  </x:si>
  <x:si>
    <x:t xml:space="preserve">0.9881</x:t>
  </x:si>
  <x:si>
    <x:t xml:space="preserve">0.11850</x:t>
  </x:si>
  <x:si>
    <x:t xml:space="preserve">0.15890</x:t>
  </x:si>
  <x:si>
    <x:t xml:space="preserve">0.24770</x:t>
  </x:si>
  <x:si>
    <x:t xml:space="preserve">0.12400</x:t>
  </x:si>
  <x:si>
    <x:t xml:space="preserve">2024-11-01</x:t>
  </x:si>
  <x:si>
    <x:t xml:space="preserve">0.8965</x:t>
  </x:si>
  <x:si>
    <x:t xml:space="preserve">0.9879</x:t>
  </x:si>
  <x:si>
    <x:t xml:space="preserve">0.15900</x:t>
  </x:si>
  <x:si>
    <x:t xml:space="preserve">0.24620</x:t>
  </x:si>
  <x:si>
    <x:t xml:space="preserve">0.13770</x:t>
  </x:si>
  <x:si>
    <x:t xml:space="preserve">0.12580</x:t>
  </x:si>
  <x:si>
    <x:t xml:space="preserve">2024-11-08</x:t>
  </x:si>
  <x:si>
    <x:t xml:space="preserve">0.9174</x:t>
  </x:si>
  <x:si>
    <x:t xml:space="preserve">1.0422</x:t>
  </x:si>
  <x:si>
    <x:t xml:space="preserve">0.01810</x:t>
  </x:si>
  <x:si>
    <x:t xml:space="preserve">0.25610</x:t>
  </x:si>
  <x:si>
    <x:t xml:space="preserve">0.12480</x:t>
  </x:si>
  <x:si>
    <x:t xml:space="preserve">0.20890</x:t>
  </x:si>
  <x:si>
    <x:t xml:space="preserve">0.11240</x:t>
  </x:si>
  <x:si>
    <x:t xml:space="preserve">2024-11-15</x:t>
  </x:si>
  <x:si>
    <x:t xml:space="preserve">0.8972</x:t>
  </x:si>
  <x:si>
    <x:t xml:space="preserve">1.0079</x:t>
  </x:si>
  <x:si>
    <x:t xml:space="preserve">0.01880</x:t>
  </x:si>
  <x:si>
    <x:t xml:space="preserve">0.14530</x:t>
  </x:si>
  <x:si>
    <x:t xml:space="preserve">0.25280</x:t>
  </x:si>
  <x:si>
    <x:t xml:space="preserve">0.21200</x:t>
  </x:si>
  <x:si>
    <x:t xml:space="preserve">2024-11-22</x:t>
  </x:si>
  <x:si>
    <x:t xml:space="preserve">0.9817</x:t>
  </x:si>
  <x:si>
    <x:t xml:space="preserve">0.04170</x:t>
  </x:si>
  <x:si>
    <x:t xml:space="preserve">0.12350</x:t>
  </x:si>
  <x:si>
    <x:t xml:space="preserve">0.24980</x:t>
  </x:si>
  <x:si>
    <x:t xml:space="preserve">0.13060</x:t>
  </x:si>
  <x:si>
    <x:t xml:space="preserve">0.12810</x:t>
  </x:si>
  <x:si>
    <x:t xml:space="preserve">0.21330</x:t>
  </x:si>
  <x:si>
    <x:t xml:space="preserve">2024-11-29</x:t>
  </x:si>
  <x:si>
    <x:t xml:space="preserve">0.9014</x:t>
  </x:si>
  <x:si>
    <x:t xml:space="preserve">0.9946</x:t>
  </x:si>
  <x:si>
    <x:t xml:space="preserve">0.04100</x:t>
  </x:si>
  <x:si>
    <x:t xml:space="preserve">0.12310</x:t>
  </x:si>
  <x:si>
    <x:t xml:space="preserve">0.25200</x:t>
  </x:si>
  <x:si>
    <x:t xml:space="preserve">0.13170</x:t>
  </x:si>
  <x:si>
    <x:t xml:space="preserve">0.21120</x:t>
  </x:si>
  <x:si>
    <x:t xml:space="preserve">0.11340</x:t>
  </x:si>
  <x:si>
    <x:t xml:space="preserve">2024-12-06</x:t>
  </x:si>
  <x:si>
    <x:t xml:space="preserve">0.9147</x:t>
  </x:si>
  <x:si>
    <x:t xml:space="preserve">1.0090</x:t>
  </x:si>
  <x:si>
    <x:t xml:space="preserve">0.04010</x:t>
  </x:si>
  <x:si>
    <x:t xml:space="preserve">0.12300</x:t>
  </x:si>
  <x:si>
    <x:t xml:space="preserve">0.25480</x:t>
  </x:si>
  <x:si>
    <x:t xml:space="preserve">0.12850</x:t>
  </x:si>
  <x:si>
    <x:t xml:space="preserve">0.21070</x:t>
  </x:si>
  <x:si>
    <x:t xml:space="preserve">2024-12-13</x:t>
  </x:si>
  <x:si>
    <x:t xml:space="preserve">0.9143</x:t>
  </x:si>
  <x:si>
    <x:t xml:space="preserve">0.9988</x:t>
  </x:si>
  <x:si>
    <x:t xml:space="preserve">0.01790</x:t>
  </x:si>
  <x:si>
    <x:t xml:space="preserve">0.12210</x:t>
  </x:si>
  <x:si>
    <x:t xml:space="preserve">0.25490</x:t>
  </x:si>
  <x:si>
    <x:t xml:space="preserve">0.13070</x:t>
  </x:si>
  <x:si>
    <x:t xml:space="preserve">0.15070</x:t>
  </x:si>
  <x:si>
    <x:t xml:space="preserve">2024-12-20</x:t>
  </x:si>
  <x:si>
    <x:t xml:space="preserve">0.9070</x:t>
  </x:si>
  <x:si>
    <x:t xml:space="preserve">0.9975</x:t>
  </x:si>
  <x:si>
    <x:t xml:space="preserve">0.01780</x:t>
  </x:si>
  <x:si>
    <x:t xml:space="preserve">0.12320</x:t>
  </x:si>
  <x:si>
    <x:t xml:space="preserve">0.25500</x:t>
  </x:si>
  <x:si>
    <x:t xml:space="preserve">0.13120</x:t>
  </x:si>
  <x:si>
    <x:t xml:space="preserve">0.14980</x:t>
  </x:si>
  <x:si>
    <x:t xml:space="preserve">2024-12-27</x:t>
  </x:si>
  <x:si>
    <x:t xml:space="preserve">0.9089</x:t>
  </x:si>
  <x:si>
    <x:t xml:space="preserve">1.0110</x:t>
  </x:si>
  <x:si>
    <x:t xml:space="preserve">0.01750</x:t>
  </x:si>
  <x:si>
    <x:t xml:space="preserve">0.25510</x:t>
  </x:si>
  <x:si>
    <x:t xml:space="preserve">0.13000</x:t>
  </x:si>
  <x:si>
    <x:t xml:space="preserve">0.15030</x:t>
  </x:si>
  <x:si>
    <x:t xml:space="preserve">2024-12-31</x:t>
  </x:si>
  <x:si>
    <x:t xml:space="preserve">0.9038</x:t>
  </x:si>
  <x:si>
    <x:t xml:space="preserve">0.9993</x:t>
  </x:si>
  <x:si>
    <x:t xml:space="preserve">0.01740</x:t>
  </x:si>
  <x:si>
    <x:t xml:space="preserve">0.12450</x:t>
  </x:si>
  <x:si>
    <x:t xml:space="preserve">0.25190</x:t>
  </x:si>
  <x:si>
    <x:t xml:space="preserve">0.13140</x:t>
  </x:si>
  <x:si>
    <x:t xml:space="preserve">0.14960</x:t>
  </x:si>
  <x:si>
    <x:t xml:space="preserve">0.21140</x:t>
  </x:si>
  <x:si>
    <x:t xml:space="preserve">2025-01-03</x:t>
  </x:si>
  <x:si>
    <x:t xml:space="preserve">0.8875</x:t>
  </x:si>
  <x:si>
    <x:t xml:space="preserve">0.9587</x:t>
  </x:si>
  <x:si>
    <x:t xml:space="preserve">0.03800</x:t>
  </x:si>
  <x:si>
    <x:t xml:space="preserve">0.24530</x:t>
  </x:si>
  <x:si>
    <x:t xml:space="preserve">0.13380</x:t>
  </x:si>
  <x:si>
    <x:t xml:space="preserve">0.14950</x:t>
  </x:si>
  <x:si>
    <x:t xml:space="preserve">0.19390</x:t>
  </x:si>
  <x:si>
    <x:t xml:space="preserve">2025-01-10</x:t>
  </x:si>
  <x:si>
    <x:t xml:space="preserve">0.9479</x:t>
  </x:si>
  <x:si>
    <x:t xml:space="preserve">0.24550</x:t>
  </x:si>
  <x:si>
    <x:t xml:space="preserve">0.14660</x:t>
  </x:si>
  <x:si>
    <x:t xml:space="preserve">0.21600</x:t>
  </x:si>
  <x:si>
    <x:t xml:space="preserve">2025-01-17</x:t>
  </x:si>
  <x:si>
    <x:t xml:space="preserve">0.8931</x:t>
  </x:si>
  <x:si>
    <x:t xml:space="preserve">0.9681</x:t>
  </x:si>
  <x:si>
    <x:t xml:space="preserve">0.02840</x:t>
  </x:si>
  <x:si>
    <x:t xml:space="preserve">0.11150</x:t>
  </x:si>
  <x:si>
    <x:t xml:space="preserve">0.25020</x:t>
  </x:si>
  <x:si>
    <x:t xml:space="preserve">0.13290</x:t>
  </x:si>
  <x:si>
    <x:t xml:space="preserve">0.14940</x:t>
  </x:si>
  <x:si>
    <x:t xml:space="preserve">0.21280</x:t>
  </x:si>
  <x:si>
    <x:t xml:space="preserve">2025-01-24</x:t>
  </x:si>
  <x:si>
    <x:t xml:space="preserve">0.8957</x:t>
  </x:si>
  <x:si>
    <x:t xml:space="preserve">0.9734</x:t>
  </x:si>
  <x:si>
    <x:t xml:space="preserve">0.02800</x:t>
  </x:si>
  <x:si>
    <x:t xml:space="preserve">0.11050</x:t>
  </x:si>
  <x:si>
    <x:t xml:space="preserve">0.25120</x:t>
  </x:si>
  <x:si>
    <x:t xml:space="preserve">0.15190</x:t>
  </x:si>
  <x:si>
    <x:t xml:space="preserve">0.21190</x:t>
  </x:si>
  <x:si>
    <x:t xml:space="preserve">2025-01-27</x:t>
  </x:si>
  <x:si>
    <x:t xml:space="preserve">0.8959</x:t>
  </x:si>
  <x:si>
    <x:t xml:space="preserve">0.9694</x:t>
  </x:si>
  <x:si>
    <x:t xml:space="preserve">0.02790</x:t>
  </x:si>
  <x:si>
    <x:t xml:space="preserve">0.11030</x:t>
  </x:si>
  <x:si>
    <x:t xml:space="preserve">0.13280</x:t>
  </x:si>
  <x:si>
    <x:t xml:space="preserve">0.15260</x:t>
  </x:si>
  <x:si>
    <x:t xml:space="preserve">0.21180</x:t>
  </x:si>
  <x:si>
    <x:t xml:space="preserve">0.11510</x:t>
  </x:si>
  <x:si>
    <x:t xml:space="preserve">2025-02-07</x:t>
  </x:si>
  <x:si>
    <x:t xml:space="preserve">0.9152</x:t>
  </x:si>
  <x:si>
    <x:t xml:space="preserve">0.02690</x:t>
  </x:si>
  <x:si>
    <x:t xml:space="preserve">0.10890</x:t>
  </x:si>
  <x:si>
    <x:t xml:space="preserve">0.25210</x:t>
  </x:si>
  <x:si>
    <x:t xml:space="preserve">0.12980</x:t>
  </x:si>
  <x:si>
    <x:t xml:space="preserve">0.15810</x:t>
  </x:si>
  <x:si>
    <x:t xml:space="preserve">0.21010</x:t>
  </x:si>
  <x:si>
    <x:t xml:space="preserve">2025-02-14</x:t>
  </x:si>
  <x:si>
    <x:t xml:space="preserve">0.9297</x:t>
  </x:si>
  <x:si>
    <x:t xml:space="preserve">1.0003</x:t>
  </x:si>
  <x:si>
    <x:t xml:space="preserve">0.14290</x:t>
  </x:si>
  <x:si>
    <x:t xml:space="preserve">0.11800</x:t>
  </x:si>
  <x:si>
    <x:t xml:space="preserve">0.25220</x:t>
  </x:si>
  <x:si>
    <x:t xml:space="preserve">0.16590</x:t>
  </x:si>
  <x:si>
    <x:t xml:space="preserve">0.20820</x:t>
  </x:si>
  <x:si>
    <x:t xml:space="preserve">2025-02-21</x:t>
  </x:si>
  <x:si>
    <x:t xml:space="preserve">0.9417</x:t>
  </x:si>
  <x:si>
    <x:t xml:space="preserve">1.0103</x:t>
  </x:si>
  <x:si>
    <x:t xml:space="preserve">0.03440</x:t>
  </x:si>
  <x:si>
    <x:t xml:space="preserve">0.36220</x:t>
  </x:si>
  <x:si>
    <x:t xml:space="preserve">0.11140</x:t>
  </x:si>
  <x:si>
    <x:t xml:space="preserve">2025-02-28</x:t>
  </x:si>
  <x:si>
    <x:t xml:space="preserve">0.9261</x:t>
  </x:si>
  <x:si>
    <x:t xml:space="preserve">0.03460</x:t>
  </x:si>
  <x:si>
    <x:t xml:space="preserve">0.11970</x:t>
  </x:si>
  <x:si>
    <x:t xml:space="preserve">0.36040</x:t>
  </x:si>
  <x:si>
    <x:t xml:space="preserve">0.16170</x:t>
  </x:si>
  <x:si>
    <x:t xml:space="preserve">2025-03-07</x:t>
  </x:si>
  <x:si>
    <x:t xml:space="preserve">0.9490</x:t>
  </x:si>
  <x:si>
    <x:t xml:space="preserve">1.0016</x:t>
  </x:si>
  <x:si>
    <x:t xml:space="preserve">0.03350</x:t>
  </x:si>
  <x:si>
    <x:t xml:space="preserve">0.36260</x:t>
  </x:si>
  <x:si>
    <x:t xml:space="preserve">0.17040</x:t>
  </x:si>
  <x:si>
    <x:t xml:space="preserve">0.20590</x:t>
  </x:si>
  <x:si>
    <x:t xml:space="preserve">0.10970</x:t>
  </x:si>
  <x:si>
    <x:t xml:space="preserve">2025-03-14</x:t>
  </x:si>
  <x:si>
    <x:t xml:space="preserve">0.9508</x:t>
  </x:si>
  <x:si>
    <x:t xml:space="preserve">1.0175</x:t>
  </x:si>
  <x:si>
    <x:t xml:space="preserve">0.02260</x:t>
  </x:si>
  <x:si>
    <x:t xml:space="preserve">0.11790</x:t>
  </x:si>
  <x:si>
    <x:t xml:space="preserve">0.36820</x:t>
  </x:si>
  <x:si>
    <x:t xml:space="preserve">0.17720</x:t>
  </x:si>
  <x:si>
    <x:t xml:space="preserve">0.20460</x:t>
  </x:si>
  <x:si>
    <x:t xml:space="preserve">0.10940</x:t>
  </x:si>
  <x:si>
    <x:t xml:space="preserve">2025-03-21</x:t>
  </x:si>
  <x:si>
    <x:t xml:space="preserve">0.9403</x:t>
  </x:si>
  <x:si>
    <x:t xml:space="preserve">0.9941</x:t>
  </x:si>
  <x:si>
    <x:t xml:space="preserve">0.12130</x:t>
  </x:si>
  <x:si>
    <x:t xml:space="preserve">0.36570</x:t>
  </x:si>
  <x:si>
    <x:t xml:space="preserve">0.17330</x:t>
  </x:si>
  <x:si>
    <x:t xml:space="preserve">0.11020</x:t>
  </x:si>
  <x:si>
    <x:t xml:space="preserve">2025-03-28</x:t>
  </x:si>
  <x:si>
    <x:t xml:space="preserve">0.9344</x:t>
  </x:si>
  <x:si>
    <x:t xml:space="preserve">0.02240</x:t>
  </x:si>
  <x:si>
    <x:t xml:space="preserve">0.12040</x:t>
  </x:si>
  <x:si>
    <x:t xml:space="preserve">0.36360</x:t>
  </x:si>
  <x:si>
    <x:t xml:space="preserve">0.17380</x:t>
  </x:si>
  <x:si>
    <x:t xml:space="preserve">0.20850</x:t>
  </x:si>
  <x:si>
    <x:t xml:space="preserve">0.11130</x:t>
  </x:si>
  <x:si>
    <x:t xml:space="preserve">2025-03-31</x:t>
  </x:si>
  <x:si>
    <x:t xml:space="preserve">0.9304</x:t>
  </x:si>
  <x:si>
    <x:t xml:space="preserve">0.12150</x:t>
  </x:si>
  <x:si>
    <x:t xml:space="preserve">0.36280</x:t>
  </x:si>
  <x:si>
    <x:t xml:space="preserve">0.17250</x:t>
  </x:si>
  <x:si>
    <x:t xml:space="preserve">0.20920</x:t>
  </x:si>
  <x:si>
    <x:t xml:space="preserve">2025-04-03</x:t>
  </x:si>
  <x:si>
    <x:t xml:space="preserve">0.9287</x:t>
  </x:si>
  <x:si>
    <x:t xml:space="preserve">0.9806</x:t>
  </x:si>
  <x:si>
    <x:t xml:space="preserve">0.02230</x:t>
  </x:si>
  <x:si>
    <x:t xml:space="preserve">0.12190</x:t>
  </x:si>
  <x:si>
    <x:t xml:space="preserve">0.36230</x:t>
  </x:si>
  <x:si>
    <x:t xml:space="preserve">0.17070</x:t>
  </x:si>
  <x:si>
    <x:t xml:space="preserve">2025-04-11</x:t>
  </x:si>
  <x:si>
    <x:t xml:space="preserve">0.8998</x:t>
  </x:si>
  <x:si>
    <x:t xml:space="preserve">0.9524</x:t>
  </x:si>
  <x:si>
    <x:t xml:space="preserve">0.06460</x:t>
  </x:si>
  <x:si>
    <x:t xml:space="preserve">0.12690</x:t>
  </x:si>
  <x:si>
    <x:t xml:space="preserve">0.35680</x:t>
  </x:si>
  <x:si>
    <x:t xml:space="preserve">0.12030</x:t>
  </x:si>
  <x:si>
    <x:t xml:space="preserve">2025-04-18</x:t>
  </x:si>
  <x:si>
    <x:t xml:space="preserve">0.9039</x:t>
  </x:si>
  <x:si>
    <x:t xml:space="preserve">0.9580</x:t>
  </x:si>
  <x:si>
    <x:t xml:space="preserve">0.06400</x:t>
  </x:si>
  <x:si>
    <x:t xml:space="preserve">0.12720</x:t>
  </x:si>
  <x:si>
    <x:t xml:space="preserve">0.35650</x:t>
  </x:si>
  <x:si>
    <x:t xml:space="preserve">0.12260</x:t>
  </x:si>
  <x:si>
    <x:t xml:space="preserve">2025-04-25</x:t>
  </x:si>
  <x:si>
    <x:t xml:space="preserve">0.9125</x:t>
  </x:si>
  <x:si>
    <x:t xml:space="preserve">0.9617</x:t>
  </x:si>
  <x:si>
    <x:t xml:space="preserve">0.06310</x:t>
  </x:si>
  <x:si>
    <x:t xml:space="preserve">0.12620</x:t>
  </x:si>
  <x:si>
    <x:t xml:space="preserve">0.35890</x:t>
  </x:si>
  <x:si>
    <x:t xml:space="preserve">0.12410</x:t>
  </x:si>
  <x:si>
    <x:t xml:space="preserve">2025-04-30</x:t>
  </x:si>
  <x:si>
    <x:t xml:space="preserve">0.9121</x:t>
  </x:si>
  <x:si>
    <x:t xml:space="preserve">0.9575</x:t>
  </x:si>
  <x:si>
    <x:t xml:space="preserve">0.06300</x:t>
  </x:si>
  <x:si>
    <x:t xml:space="preserve">0.12680</x:t>
  </x:si>
  <x:si>
    <x:t xml:space="preserve">0.35980</x:t>
  </x:si>
  <x:si>
    <x:t xml:space="preserve">0.12330</x:t>
  </x:si>
  <x:si>
    <x:t xml:space="preserve">2025-05-09</x:t>
  </x:si>
  <x:si>
    <x:t xml:space="preserve">0.9225</x:t>
  </x:si>
  <x:si>
    <x:t xml:space="preserve">0.9767</x:t>
  </x:si>
  <x:si>
    <x:t xml:space="preserve">0.06190</x:t>
  </x:si>
  <x:si>
    <x:t xml:space="preserve">0.36380</x:t>
  </x:si>
  <x:si>
    <x:t xml:space="preserve">0.12270</x:t>
  </x:si>
  <x:si>
    <x:t xml:space="preserve">0.21290</x:t>
  </x:si>
  <x:si>
    <x:t xml:space="preserve">2025-05-16</x:t>
  </x:si>
  <x:si>
    <x:t xml:space="preserve">0.9257</x:t>
  </x:si>
  <x:si>
    <x:t xml:space="preserve">0.9876</x:t>
  </x:si>
  <x:si>
    <x:t xml:space="preserve">0.36520</x:t>
  </x:si>
  <x:si>
    <x:t xml:space="preserve">2025-05-23</x:t>
  </x:si>
  <x:si>
    <x:t xml:space="preserve">0.9227</x:t>
  </x:si>
  <x:si>
    <x:t xml:space="preserve">0.9859</x:t>
  </x:si>
  <x:si>
    <x:t xml:space="preserve">0.12700</x:t>
  </x:si>
  <x:si>
    <x:t xml:space="preserve">0.36410</x:t>
  </x:si>
  <x:si>
    <x:t xml:space="preserve">0.12430</x:t>
  </x:si>
  <x:si>
    <x:t xml:space="preserve">0.21210</x:t>
  </x:si>
  <x:si>
    <x:t xml:space="preserve">2025-05-30</x:t>
  </x:si>
  <x:si>
    <x:t xml:space="preserve">0.9202</x:t>
  </x:si>
  <x:si>
    <x:t xml:space="preserve">0.9752</x:t>
  </x:si>
  <x:si>
    <x:t xml:space="preserve">0.06120</x:t>
  </x:si>
  <x:si>
    <x:t xml:space="preserve">0.12820</x:t>
  </x:si>
  <x:si>
    <x:t xml:space="preserve">0.36550</x:t>
  </x:si>
  <x:si>
    <x:t xml:space="preserve">0.12180</x:t>
  </x:si>
  <x:si>
    <x:t xml:space="preserve">0.21310</x:t>
  </x:si>
  <x:si>
    <x:t xml:space="preserve">2025-06-06</x:t>
  </x:si>
  <x:si>
    <x:t xml:space="preserve">0.9281</x:t>
  </x:si>
  <x:si>
    <x:t xml:space="preserve">0.9838</x:t>
  </x:si>
  <x:si>
    <x:t xml:space="preserve">0.06030</x:t>
  </x:si>
  <x:si>
    <x:t xml:space="preserve">0.12670</x:t>
  </x:si>
  <x:si>
    <x:t xml:space="preserve">0.36900</x:t>
  </x:si>
  <x:si>
    <x:t xml:space="preserve">0.12220</x:t>
  </x:si>
  <x:si>
    <x:t xml:space="preserve">2025-06-13</x:t>
  </x:si>
  <x:si>
    <x:t xml:space="preserve">0.9307</x:t>
  </x:si>
  <x:si>
    <x:t xml:space="preserve">0.05990</x:t>
  </x:si>
  <x:si>
    <x:t xml:space="preserve">0.36740</x:t>
  </x:si>
  <x:si>
    <x:t xml:space="preserve">0.12380</x:t>
  </x:si>
  <x:si>
    <x:t xml:space="preserve">2025-06-20</x:t>
  </x:si>
  <x:si>
    <x:t xml:space="preserve">0.9769</x:t>
  </x:si>
  <x:si>
    <x:t xml:space="preserve">0.05970</x:t>
  </x:si>
  <x:si>
    <x:t xml:space="preserve">0.12830</x:t>
  </x:si>
  <x:si>
    <x:t xml:space="preserve">0.36510</x:t>
  </x:si>
  <x:si>
    <x:t xml:space="preserve">2025-06-27</x:t>
  </x:si>
  <x:si>
    <x:t xml:space="preserve">0.9423</x:t>
  </x:si>
  <x:si>
    <x:t xml:space="preserve">0.9959</x:t>
  </x:si>
  <x:si>
    <x:t xml:space="preserve">0.05860</x:t>
  </x:si>
  <x:si>
    <x:t xml:space="preserve">0.12500</x:t>
  </x:si>
  <x:si>
    <x:t xml:space="preserve">0.37270</x:t>
  </x:si>
  <x:si>
    <x:t xml:space="preserve">2025-06-30</x:t>
  </x:si>
  <x:si>
    <x:t xml:space="preserve">0.9444</x:t>
  </x:si>
  <x:si>
    <x:t xml:space="preserve">0.9996</x:t>
  </x:si>
  <x:si>
    <x:t xml:space="preserve">0.05830</x:t>
  </x:si>
  <x:si>
    <x:t xml:space="preserve">0.12470</x:t>
  </x:si>
  <x:si>
    <x:t xml:space="preserve">0.37470</x:t>
  </x:si>
  <x:si>
    <x:t xml:space="preserve">0.20910</x:t>
  </x:si>
  <x:si>
    <x:t xml:space="preserve">2025-07-04</x:t>
  </x:si>
  <x:si>
    <x:t xml:space="preserve">0.9468</x:t>
  </x:si>
  <x:si>
    <x:t xml:space="preserve">1.0113</x:t>
  </x:si>
  <x:si>
    <x:t xml:space="preserve">0.37490</x:t>
  </x:si>
  <x:si>
    <x:t xml:space="preserve">0.20800</x:t>
  </x:si>
  <x:si>
    <x:t xml:space="preserve">2025-07-11</x:t>
  </x:si>
  <x:si>
    <x:t xml:space="preserve">0.9547</x:t>
  </x:si>
  <x:si>
    <x:t xml:space="preserve">1.0196</x:t>
  </x:si>
  <x:si>
    <x:t xml:space="preserve">0.12360</x:t>
  </x:si>
  <x:si>
    <x:t xml:space="preserve">0.37930</x:t>
  </x:si>
  <x:si>
    <x:t xml:space="preserve">0.20630</x:t>
  </x:si>
  <x:si>
    <x:t xml:space="preserve">0.11090</x:t>
  </x:si>
  <x:si>
    <x:t xml:space="preserve">2025-07-18</x:t>
  </x:si>
  <x:si>
    <x:t xml:space="preserve">0.9640</x:t>
  </x:si>
  <x:si>
    <x:t xml:space="preserve">1.0307</x:t>
  </x:si>
  <x:si>
    <x:t xml:space="preserve">0.05640</x:t>
  </x:si>
  <x:si>
    <x:t xml:space="preserve">0.12340</x:t>
  </x:si>
  <x:si>
    <x:t xml:space="preserve">0.38100</x:t>
  </x:si>
  <x:si>
    <x:t xml:space="preserve">0.20450</x:t>
  </x:si>
  <x:si>
    <x:t xml:space="preserve">0.11120</x:t>
  </x:si>
  <x:si>
    <x:t xml:space="preserve">2025-07-25</x:t>
  </x:si>
  <x:si>
    <x:t xml:space="preserve">0.9789</x:t>
  </x:si>
  <x:si>
    <x:t xml:space="preserve">1.0481</x:t>
  </x:si>
  <x:si>
    <x:t xml:space="preserve">0.05520</x:t>
  </x:si>
  <x:si>
    <x:t xml:space="preserve">0.38360</x:t>
  </x:si>
  <x:si>
    <x:t xml:space="preserve">0.20130</x:t>
  </x:si>
  <x:si>
    <x:t xml:space="preserve">2025-07-31</x:t>
  </x:si>
  <x:si>
    <x:t xml:space="preserve">0.9690</x:t>
  </x:si>
  <x:si>
    <x:t xml:space="preserve">1.0350</x:t>
  </x:si>
  <x:si>
    <x:t xml:space="preserve">0.02460</x:t>
  </x:si>
  <x:si>
    <x:t xml:space="preserve">0.12290</x:t>
  </x:si>
  <x:si>
    <x:t xml:space="preserve">0.38440</x:t>
  </x:si>
  <x:si>
    <x:t xml:space="preserve">0.14120</x:t>
  </x:si>
  <x:si>
    <x:t xml:space="preserve">2025-08-01</x:t>
  </x:si>
  <x:si>
    <x:t xml:space="preserve">0.9668</x:t>
  </x:si>
  <x:si>
    <x:t xml:space="preserve">1.0298</x:t>
  </x:si>
  <x:si>
    <x:t xml:space="preserve">0.12250</x:t>
  </x:si>
  <x:si>
    <x:t xml:space="preserve">0.38490</x:t>
  </x:si>
  <x:si>
    <x:t xml:space="preserve">0.10610</x:t>
  </x:si>
  <x:si>
    <x:t xml:space="preserve">0.14080</x:t>
  </x:si>
  <x:si>
    <x:t xml:space="preserve">2025-08-08</x:t>
  </x:si>
  <x:si>
    <x:t xml:space="preserve">0.9800</x:t>
  </x:si>
  <x:si>
    <x:t xml:space="preserve">1.0425</x:t>
  </x:si>
  <x:si>
    <x:t xml:space="preserve">0.12060</x:t>
  </x:si>
  <x:si>
    <x:t xml:space="preserve">0.38800</x:t>
  </x:si>
  <x:si>
    <x:t xml:space="preserve">0.13980</x:t>
  </x:si>
  <x:si>
    <x:t xml:space="preserve">2025-08-15</x:t>
  </x:si>
  <x:si>
    <x:t xml:space="preserve">0.9987</x:t>
  </x:si>
  <x:si>
    <x:t xml:space="preserve">1.0672</x:t>
  </x:si>
  <x:si>
    <x:t xml:space="preserve">0.12610</x:t>
  </x:si>
  <x:si>
    <x:t xml:space="preserve">0.13690</x:t>
  </x:si>
  <x:si>
    <x:t xml:space="preserve">2025-08-22</x:t>
  </x:si>
  <x:si>
    <x:t xml:space="preserve">1.0146</x:t>
  </x:si>
  <x:si>
    <x:t xml:space="preserve">1.1118</x:t>
  </x:si>
  <x:si>
    <x:t xml:space="preserve">0.01730</x:t>
  </x:si>
  <x:si>
    <x:t xml:space="preserve">0.40170</x:t>
  </x:si>
  <x:si>
    <x:t xml:space="preserve">0.10320</x:t>
  </x:si>
  <x:si>
    <x:t xml:space="preserve">2025-08-29</x:t>
  </x:si>
  <x:si>
    <x:t xml:space="preserve">1.0256</x:t>
  </x:si>
  <x:si>
    <x:t xml:space="preserve">1.1420</x:t>
  </x:si>
  <x:si>
    <x:t xml:space="preserve">0.01690</x:t>
  </x:si>
  <x:si>
    <x:t xml:space="preserve">0.40440</x:t>
  </x:si>
  <x:si>
    <x:t xml:space="preserve">2025-09-05</x:t>
  </x:si>
  <x:si>
    <x:t xml:space="preserve">1.0208</x:t>
  </x:si>
  <x:si>
    <x:t xml:space="preserve">1.1327</x:t>
  </x:si>
  <x:si>
    <x:t xml:space="preserve">0.01660</x:t>
  </x:si>
  <x:si>
    <x:t xml:space="preserve">0.11640</x:t>
  </x:si>
  <x:si>
    <x:t xml:space="preserve">0.40000</x:t>
  </x:si>
  <x:si>
    <x:t xml:space="preserve">0.10150</x:t>
  </x:si>
  <x:si>
    <x:t xml:space="preserve">0.13260</x:t>
  </x:si>
  <x:si>
    <x:t xml:space="preserve">2025-09-12</x:t>
  </x:si>
  <x:si>
    <x:t xml:space="preserve">1.0354</x:t>
  </x:si>
  <x:si>
    <x:t xml:space="preserve">1.1484</x:t>
  </x:si>
  <x:si>
    <x:t xml:space="preserve">0.01610</x:t>
  </x:si>
  <x:si>
    <x:t xml:space="preserve">0.40330</x:t>
  </x:si>
  <x:si>
    <x:t xml:space="preserve">0.12960</x:t>
  </x:si>
  <x:si>
    <x:t xml:space="preserve">2025-09-19</x:t>
  </x:si>
  <x:si>
    <x:t xml:space="preserve">1.0334</x:t>
  </x:si>
  <x:si>
    <x:t xml:space="preserve">1.1433</x:t>
  </x:si>
  <x:si>
    <x:t xml:space="preserve">0.01590</x:t>
  </x:si>
  <x:si>
    <x:t xml:space="preserve">0.40370</x:t>
  </x:si>
  <x:si>
    <x:t xml:space="preserve">0.13320</x:t>
  </x:si>
  <x:si>
    <x:t xml:space="preserve">0.12880</x:t>
  </x:si>
  <x:si>
    <x:t xml:space="preserve">2025-09-26</x:t>
  </x:si>
  <x:si>
    <x:t xml:space="preserve">1.0279</x:t>
  </x:si>
  <x:si>
    <x:t xml:space="preserve">1.1555</x:t>
  </x:si>
  <x:si>
    <x:t xml:space="preserve">0.01570</x:t>
  </x:si>
  <x:si>
    <x:t xml:space="preserve">0.40410</x:t>
  </x:si>
  <x:si>
    <x:t xml:space="preserve">0.13340</x:t>
  </x:si>
  <x:si>
    <x:t xml:space="preserve">2025-09-30</x:t>
  </x:si>
  <x:si>
    <x:t xml:space="preserve">1.0418</x:t>
  </x:si>
  <x:si>
    <x:t xml:space="preserve">1.1785</x:t>
  </x:si>
  <x:si>
    <x:t xml:space="preserve">0.01530</x:t>
  </x:si>
  <x:si>
    <x:t xml:space="preserve">0.40690</x:t>
  </x:si>
  <x:si>
    <x:t xml:space="preserve">0.13550</x:t>
  </x:si>
  <x:si>
    <x:t xml:space="preserve">0.12560</x:t>
  </x:si>
  <x:si>
    <x:t xml:space="preserve">2025-10-10</x:t>
  </x:si>
  <x:si>
    <x:t xml:space="preserve">1.0407</x:t>
  </x:si>
  <x:si>
    <x:t xml:space="preserve">1.1725</x:t>
  </x:si>
  <x:si>
    <x:t xml:space="preserve">0.14060</x:t>
  </x:si>
  <x:si>
    <x:t xml:space="preserve">0.11430</x:t>
  </x:si>
  <x:si>
    <x:t xml:space="preserve">0.40770</x:t>
  </x:si>
  <x:si>
    <x:t xml:space="preserve">0.10510</x:t>
  </x:si>
  <x:si>
    <x:t xml:space="preserve">0.13230</x:t>
  </x:si>
  <x:si>
    <x:t xml:space="preserve">2025-10-17</x:t>
  </x:si>
  <x:si>
    <x:t xml:space="preserve">1.0219</x:t>
  </x:si>
  <x:si>
    <x:t xml:space="preserve">1.1464</x:t>
  </x:si>
  <x:si>
    <x:t xml:space="preserve">0.13700</x:t>
  </x:si>
  <x:si>
    <x:t xml:space="preserve">0.11830</x:t>
  </x:si>
  <x:si>
    <x:t xml:space="preserve">2025-10-24</x:t>
  </x:si>
  <x:si>
    <x:t xml:space="preserve">1.0451</x:t>
  </x:si>
  <x:si>
    <x:t xml:space="preserve">1.1836</x:t>
  </x:si>
  <x:si>
    <x:t xml:space="preserve">0.13370</x:t>
  </x:si>
  <x:si>
    <x:t xml:space="preserve">0.40930</x:t>
  </x:si>
  <x:si>
    <x:t xml:space="preserve">2025-10-31</x:t>
  </x:si>
  <x:si>
    <x:t xml:space="preserve">1.0482</x:t>
  </x:si>
  <x:si>
    <x:t xml:space="preserve">0.41180</x:t>
  </x:si>
  <x:si>
    <x:t xml:space="preserve">0.23000</x:t>
  </x:si>
  <x:si>
    <x:t xml:space="preserve">0.13080</x:t>
  </x:si>
  <x:si>
    <x:t xml:space="preserve">2025-11-07</x:t>
  </x:si>
  <x:si>
    <x:t xml:space="preserve">1.0566</x:t>
  </x:si>
  <x:si>
    <x:t xml:space="preserve">1.1882</x:t>
  </x:si>
  <x:si>
    <x:t xml:space="preserve">0.41250</x:t>
  </x:si>
  <x:si>
    <x:t xml:space="preserve">0.23110</x:t>
  </x:si>
  <x:si>
    <x:t xml:space="preserve">0.13030</x:t>
  </x:si>
  <x:si>
    <x:t xml:space="preserve">0.09460</x:t>
  </x:si>
  <x:si>
    <x:t xml:space="preserve">2025-11-14</x:t>
  </x:si>
  <x:si>
    <x:t xml:space="preserve">1.0594</x:t>
  </x:si>
  <x:si>
    <x:t xml:space="preserve">1.1753</x:t>
  </x:si>
  <x:si>
    <x:t xml:space="preserve">0.41000</x:t>
  </x:si>
  <x:si>
    <x:t xml:space="preserve">0.23160</x:t>
  </x:si>
  <x:si>
    <x:t xml:space="preserve">0.13180</x:t>
  </x:si>
  <x:si>
    <x:t xml:space="preserve">2025-11-21</x:t>
  </x:si>
  <x:si>
    <x:t xml:space="preserve">1.0195</x:t>
  </x:si>
  <x:si>
    <x:t xml:space="preserve">1.1310</x:t>
  </x:si>
  <x:si>
    <x:t xml:space="preserve">0.40510</x:t>
  </x:si>
  <x:si>
    <x:t xml:space="preserve">0.23010</x:t>
  </x:si>
  <x:si>
    <x:t xml:space="preserve">0.13010</x:t>
  </x:si>
  <x:si>
    <x:t xml:space="preserve">2025-11-28</x:t>
  </x:si>
  <x:si>
    <x:t xml:space="preserve">1.0399</x:t>
  </x:si>
  <x:si>
    <x:t xml:space="preserve">1.1496</x:t>
  </x:si>
  <x:si>
    <x:t xml:space="preserve">0.22940</x:t>
  </x:si>
  <x:si>
    <x:t xml:space="preserve">0.09650</x:t>
  </x:si>
  <x:si>
    <x:t xml:space="preserve">2025-12-05</x:t>
  </x:si>
  <x:si>
    <x:t xml:space="preserve">1.0460</x:t>
  </x:si>
  <x:si>
    <x:t xml:space="preserve">1.1642</x:t>
  </x:si>
  <x:si>
    <x:t xml:space="preserve">0.01710</x:t>
  </x:si>
  <x:si>
    <x:t xml:space="preserve">0.11670</x:t>
  </x:si>
  <x:si>
    <x:t xml:space="preserve">0.22850</x:t>
  </x:si>
  <x:si>
    <x:t xml:space="preserve">0.13350</x:t>
  </x:si>
  <x:si>
    <x:t xml:space="preserve">0.09540</x:t>
  </x:si>
  <x:si>
    <x:t xml:space="preserve">2025-12-12</x:t>
  </x:si>
  <x:si>
    <x:t xml:space="preserve">1.0457</x:t>
  </x:si>
  <x:si>
    <x:t xml:space="preserve">1.1633</x:t>
  </x:si>
  <x:si>
    <x:t xml:space="preserve">0.01680</x:t>
  </x:si>
  <x:si>
    <x:t xml:space="preserve">0.41060</x:t>
  </x:si>
  <x:si>
    <x:t xml:space="preserve">0.22810</x:t>
  </x:si>
  <x:si>
    <x:t xml:space="preserve">0.13160</x:t>
  </x:si>
  <x:si>
    <x:t xml:space="preserve">0.09570</x:t>
  </x:si>
  <x:si>
    <x:t xml:space="preserve">2025-12-19</x:t>
  </x:si>
  <x:si>
    <x:t xml:space="preserve">1.0414</x:t>
  </x:si>
  <x:si>
    <x:t xml:space="preserve">1.1601</x:t>
  </x:si>
  <x:si>
    <x:t xml:space="preserve">0.01650</x:t>
  </x:si>
  <x:si>
    <x:t xml:space="preserve">0.11600</x:t>
  </x:si>
  <x:si>
    <x:t xml:space="preserve">0.41260</x:t>
  </x:si>
  <x:si>
    <x:t xml:space="preserve">0.22880</x:t>
  </x:si>
  <x:si>
    <x:t xml:space="preserve">2025-12-26</x:t>
  </x:si>
  <x:si>
    <x:t xml:space="preserve">1.0671</x:t>
  </x:si>
  <x:si>
    <x:t xml:space="preserve">1.1827</x:t>
  </x:si>
  <x:si>
    <x:t xml:space="preserve">0.41660</x:t>
  </x:si>
  <x:si>
    <x:t xml:space="preserve">0.09520</x:t>
  </x:si>
  <x:si>
    <x:t xml:space="preserve">2025-12-31</x:t>
  </x:si>
  <x:si>
    <x:t xml:space="preserve">1.0628</x:t>
  </x:si>
  <x:si>
    <x:t xml:space="preserve">1.1758</x:t>
  </x:si>
  <x:si>
    <x:t xml:space="preserve">0.41750</x:t>
  </x:si>
  <x:si>
    <x:t xml:space="preserve">0.12890</x:t>
  </x:si>
  <x:si>
    <x:t xml:space="preserve">0.09420</x:t>
  </x:si>
  <x:si>
    <x:t xml:space="preserve">2026-01-09</x:t>
  </x:si>
  <x:si>
    <x:t xml:space="preserve">1.1070</x:t>
  </x:si>
  <x:si>
    <x:t xml:space="preserve">1.2085</x:t>
  </x:si>
  <x:si>
    <x:t xml:space="preserve">0.01470</x:t>
  </x:si>
  <x:si>
    <x:t xml:space="preserve">0.11000</x:t>
  </x:si>
  <x:si>
    <x:t xml:space="preserve">0.42230</x:t>
  </x:si>
  <x:si>
    <x:t xml:space="preserve">0.23130</x:t>
  </x:si>
  <x:si>
    <x:t xml:space="preserve">0.12790</x:t>
  </x:si>
  <x:si>
    <x:t xml:space="preserve">0.09370</x:t>
  </x:si>
  <x:si>
    <x:t xml:space="preserve">2026-01-16</x:t>
  </x:si>
  <x:si>
    <x:t xml:space="preserve">1.1133</x:t>
  </x:si>
  <x:si>
    <x:t xml:space="preserve">1.2017</x:t>
  </x:si>
  <x:si>
    <x:t xml:space="preserve">0.01890</x:t>
  </x:si>
  <x:si>
    <x:t xml:space="preserve">0.10900</x:t>
  </x:si>
  <x:si>
    <x:t xml:space="preserve">0.42200</x:t>
  </x:si>
  <x:si>
    <x:t xml:space="preserve">0.09350</x:t>
  </x:si>
  <x:si>
    <x:t xml:space="preserve">2026-01-23</x:t>
  </x:si>
  <x:si>
    <x:t xml:space="preserve">1.1334</x:t>
  </x:si>
  <x:si>
    <x:t xml:space="preserve">1.1942</x:t>
  </x:si>
  <x:si>
    <x:t xml:space="preserve">0.01830</x:t>
  </x:si>
  <x:si>
    <x:t xml:space="preserve">0.42430</x:t>
  </x:si>
  <x:si>
    <x:t xml:space="preserve">0.09400</x:t>
  </x:si>
  <x:si>
    <x:t xml:space="preserve">2026-01-30</x:t>
  </x:si>
  <x:si>
    <x:t xml:space="preserve">1.1235</x:t>
  </x:si>
  <x:si>
    <x:t xml:space="preserve">1.1952</x:t>
  </x:si>
  <x:si>
    <x:t xml:space="preserve">0.06780</x:t>
  </x:si>
  <x:si>
    <x:t xml:space="preserve">0.10740</x:t>
  </x:si>
  <x:si>
    <x:t xml:space="preserve">0.37220</x:t>
  </x:si>
  <x:si>
    <x:t xml:space="preserve">0.09530</x:t>
  </x:si>
  <x:si>
    <x:t xml:space="preserve">2026-02-06</x:t>
  </x:si>
  <x:si>
    <x:t xml:space="preserve">1.1076</x:t>
  </x:si>
  <x:si>
    <x:t xml:space="preserve">1.1792</x:t>
  </x:si>
  <x:si>
    <x:t xml:space="preserve">0.06840</x:t>
  </x:si>
  <x:si>
    <x:t xml:space="preserve">0.37290</x:t>
  </x:si>
  <x:si>
    <x:t xml:space="preserve">0.12970</x:t>
  </x:si>
  <x:si>
    <x:t xml:space="preserve">0.22640</x:t>
  </x:si>
  <x:si>
    <x:t xml:space="preserve">2026-02-13</x:t>
  </x:si>
  <x:si>
    <x:t xml:space="preserve">1.1159</x:t>
  </x:si>
  <x:si>
    <x:t xml:space="preserve">1.1835</x:t>
  </x:si>
  <x:si>
    <x:t xml:space="preserve">0.00760</x:t>
  </x:si>
  <x:si>
    <x:t xml:space="preserve">0.10840</x:t>
  </x:si>
  <x:si>
    <x:t xml:space="preserve">0.37330</x:t>
  </x:si>
  <x:si>
    <x:t xml:space="preserve">0.06000</x:t>
  </x:si>
  <x:si>
    <x:t xml:space="preserve">0.13150</x:t>
  </x:si>
  <x:si>
    <x:t xml:space="preserve">0.09380</x:t>
  </x:si>
  <x:si>
    <x:t xml:space="preserve">2026-02-27</x:t>
  </x:si>
  <x:si>
    <x:t xml:space="preserve">1.1462</x:t>
  </x:si>
  <x:si>
    <x:t xml:space="preserve">1.1963</x:t>
  </x:si>
  <x:si>
    <x:t xml:space="preserve">0.06530</x:t>
  </x:si>
  <x:si>
    <x:t xml:space="preserve">0.37640</x:t>
  </x:si>
  <x:si>
    <x:t xml:space="preserve">0.13390</x:t>
  </x:si>
  <x:si>
    <x:t xml:space="preserve">0.22450</x:t>
  </x:si>
  <x:si>
    <x:t xml:space="preserve">0.09360</x:t>
  </x:si>
  <x:si>
    <x:t xml:space="preserve">2026-03-06</x:t>
  </x:si>
  <x:si>
    <x:t xml:space="preserve">1.1371</x:t>
  </x:si>
  <x:si>
    <x:t xml:space="preserve">0.06550</x:t>
  </x:si>
  <x:si>
    <x:t xml:space="preserve">0.10780</x:t>
  </x:si>
  <x:si>
    <x:t xml:space="preserve">0.37230</x:t>
  </x:si>
  <x:si>
    <x:t xml:space="preserve">0.13190</x:t>
  </x:si>
  <x:si>
    <x:t xml:space="preserve">0.22910</x:t>
  </x:si>
  <x:si>
    <x:t xml:space="preserve">0.09340</x:t>
  </x:si>
  <x:si>
    <x:t xml:space="preserve">2026-03-13</x:t>
  </x:si>
  <x:si>
    <x:t xml:space="preserve">1.1295</x:t>
  </x:si>
  <x:si>
    <x:t xml:space="preserve">1.1857</x:t>
  </x:si>
  <x:si>
    <x:t xml:space="preserve">0.10880</x:t>
  </x:si>
  <x:si>
    <x:t xml:space="preserve">0.33750</x:t>
  </x:si>
  <x:si>
    <x:t xml:space="preserve">0.09290</x:t>
  </x:si>
  <x:si>
    <x:t xml:space="preserve">2026-03-20</x:t>
  </x:si>
  <x:si>
    <x:t xml:space="preserve">1.0905</x:t>
  </x:si>
  <x:si>
    <x:t xml:space="preserve">1.1598</x:t>
  </x:si>
  <x:si>
    <x:t xml:space="preserve">0.01310</x:t>
  </x:si>
  <x:si>
    <x:t xml:space="preserve">0.42110</x:t>
  </x:si>
  <x:si>
    <x:t xml:space="preserve">2026-03-27</x:t>
  </x:si>
  <x:si>
    <x:t xml:space="preserve">1.0874</x:t>
  </x:si>
  <x:si>
    <x:t xml:space="preserve">1.1434</x:t>
  </x:si>
  <x:si>
    <x:t xml:space="preserve">0.01290</x:t>
  </x:si>
  <x:si>
    <x:t xml:space="preserve">0.42220</x:t>
  </x:si>
  <x:si>
    <x:t xml:space="preserve">0.22860</x:t>
  </x:si>
  <x:si>
    <x:t xml:space="preserve">0.09240</x:t>
  </x:si>
  <x:si>
    <x:t xml:space="preserve">2026-03-31</x:t>
  </x:si>
  <x:si>
    <x:t xml:space="preserve">1.0776</x:t>
  </x:si>
  <x:si>
    <x:t xml:space="preserve">1.1301</x:t>
  </x:si>
  <x:si>
    <x:t xml:space="preserve">0.01280</x:t>
  </x:si>
  <x:si>
    <x:t xml:space="preserve">0.42070</x:t>
  </x:si>
  <x:si>
    <x:t xml:space="preserve">0.22830</x:t>
  </x:si>
  <x:si>
    <x:t xml:space="preserve">2026-04-03</x:t>
  </x:si>
  <x:si>
    <x:t xml:space="preserve">1.0718</x:t>
  </x:si>
  <x:si>
    <x:t xml:space="preserve">1.1277</x:t>
  </x:si>
  <x:si>
    <x:t xml:space="preserve">0.01270</x:t>
  </x:si>
  <x:si>
    <x:t xml:space="preserve">0.41860</x:t>
  </x:si>
  <x:si>
    <x:t xml:space="preserve">0.23070</x:t>
  </x:si>
  <x:si>
    <x:t xml:space="preserve">0.09390</x:t>
  </x:si>
  <x:si>
    <x:t xml:space="preserve">2026-04-10</x:t>
  </x:si>
  <x:si>
    <x:t xml:space="preserve">1.1126</x:t>
  </x:si>
  <x:si>
    <x:t xml:space="preserve">1.1775</x:t>
  </x:si>
  <x:si>
    <x:t xml:space="preserve">0.01200</x:t>
  </x:si>
  <x:si>
    <x:t xml:space="preserve">0.11200</x:t>
  </x:si>
  <x:si>
    <x:t xml:space="preserve">0.42630</x:t>
  </x:si>
  <x:si>
    <x:t xml:space="preserve">0.13090</x:t>
  </x:si>
  <x:si>
    <x:t xml:space="preserve">0.22650</x:t>
  </x:si>
  <x:si>
    <x:t xml:space="preserve">2026-04-17</x:t>
  </x:si>
  <x:si>
    <x:t xml:space="preserve">1.1423</x:t>
  </x:si>
  <x:si>
    <x:t xml:space="preserve">1.2009</x:t>
  </x:si>
  <x:si>
    <x:t xml:space="preserve">0.01140</x:t>
  </x:si>
  <x:si>
    <x:t xml:space="preserve">0.10910</x:t>
  </x:si>
  <x:si>
    <x:t xml:space="preserve">0.42970</x:t>
  </x:si>
  <x:si>
    <x:t xml:space="preserve">0.22720</x:t>
  </x:si>
  <x:si>
    <x:t xml:space="preserve">0.09110</x:t>
  </x:si>
  <x:si>
    <x:t xml:space="preserve">2026-04-24</x:t>
  </x:si>
  <x:si>
    <x:t xml:space="preserve">1.1443</x:t>
  </x:si>
  <x:si>
    <x:t xml:space="preserve">1.2112</x:t>
  </x:si>
  <x:si>
    <x:t xml:space="preserve">0.01100</x:t>
  </x:si>
  <x:si>
    <x:t xml:space="preserve">0.43030</x:t>
  </x:si>
  <x:si>
    <x:t xml:space="preserve">0.22750</x:t>
  </x:si>
  <x:si>
    <x:t xml:space="preserve">0.09060</x:t>
  </x:si>
  <x:si>
    <x:t xml:space="preserve">2026-04-30</x:t>
  </x:si>
  <x:si>
    <x:t xml:space="preserve">1.1576</x:t>
  </x:si>
  <x:si>
    <x:t xml:space="preserve">1.2208</x:t>
  </x:si>
  <x:si>
    <x:t xml:space="preserve">0.43070</x:t>
  </x:si>
  <x:si>
    <x:t xml:space="preserve">0.22800</x:t>
  </x:si>
  <x:si>
    <x:t xml:space="preserve">0.08960</x:t>
  </x:si>
  <x:si>
    <x:t xml:space="preserve">2026-05-08</x:t>
  </x:si>
  <x:si>
    <x:t xml:space="preserve">1.1965</x:t>
  </x:si>
  <x:si>
    <x:t xml:space="preserve">1.2372</x:t>
  </x:si>
  <x:si>
    <x:t xml:space="preserve">0.43420</x:t>
  </x:si>
  <x:si>
    <x:t xml:space="preserve">0.13400</x:t>
  </x:si>
  <x:si>
    <x:t xml:space="preserve">0.08810</x:t>
  </x:si>
</x:sst>
</file>

<file path=xl/styles.xml><?xml version="1.0" encoding="utf-8"?>
<x:styleSheet xmlns:x="http://schemas.openxmlformats.org/spreadsheetml/2006/main">
  <x:numFmts count="4">
    <x:numFmt numFmtId="200" formatCode="0.0000"/>
    <x:numFmt numFmtId="201" formatCode="0.00%"/>
    <x:numFmt numFmtId="202" formatCode="0.00"/>
    <x:numFmt numFmtId="203" formatCode="yyyy-mm-dd"/>
  </x:numFmts>
  <x:fonts count="6"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  <x:font>
      <x:b/>
      <x:sz val="11"/>
      <x:color rgb="FFFFFF"/>
      <x:name val="宋体"/>
    </x:font>
    <x:font>
      <x:b/>
      <x:sz val="14"/>
      <x:color rgb="FFFFFF"/>
      <x:name val="宋体"/>
    </x:font>
    <x:font>
      <x:b/>
      <x:sz val="11"/>
      <x:color rgb="17324D"/>
      <x:name val="宋体"/>
    </x:font>
  </x:fonts>
  <x:fills count="10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E9EEF5"/>
      </x:patternFill>
    </x:fill>
    <x:fill>
      <x:patternFill patternType="solid">
        <x:fgColor rgb="17324D"/>
      </x:patternFill>
    </x:fill>
    <x:fill>
      <x:patternFill patternType="solid">
        <x:fgColor rgb="E9EEF5"/>
      </x:patternFill>
    </x:fill>
    <x:fill>
      <x:patternFill patternType="solid">
        <x:fgColor rgb="17324D"/>
      </x:patternFill>
    </x:fill>
    <x:fill>
      <x:patternFill patternType="solid">
        <x:fgColor rgb="E9EEF5"/>
      </x:patternFill>
    </x:fill>
    <x:fill>
      <x:patternFill patternType="solid">
        <x:fgColor rgb="17324D"/>
      </x:patternFill>
    </x:fill>
    <x:fill>
      <x:patternFill patternType="solid">
        <x:fgColor rgb="E9EEF5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36">
    <x:xf numFmtId="0" fontId="0" fillId="0" borderId="0" xfId="0">
      <x:alignment vertical="center"/>
    </x:xf>
    <x:xf numFmtId="0" fontId="0" fillId="0" borderId="0" xfId="0" applyAlignment="1"/>
    <x:xf numFmtId="0" fontId="1" fillId="0" borderId="0" xfId="0" applyFont="1" applyAlignment="1"/>
    <x:xf numFmtId="0" fontId="0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200" fontId="3" fillId="6" borderId="0" xfId="0" applyNumberFormat="1" applyFont="1" applyFill="1" applyBorder="1" applyAlignment="1">
      <x:alignment vertical="center"/>
    </x:xf>
    <x:xf numFmtId="201" fontId="3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200" fontId="3" fillId="8" borderId="0" xfId="0" applyNumberFormat="1" applyFont="1" applyFill="1" applyBorder="1" applyAlignment="1">
      <x:alignment vertical="center"/>
    </x:xf>
    <x:xf numFmtId="201" fontId="3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1cb00e37f4384" /><Relationship Type="http://schemas.openxmlformats.org/officeDocument/2006/relationships/theme" Target="/xl/theme/theme1.xml" Id="Ra3b77c945556404b" /><Relationship Type="http://schemas.openxmlformats.org/officeDocument/2006/relationships/sharedStrings" Target="/xl/sharedStrings.xml" Id="Rfd7843af9f244fd7" /><Relationship Type="http://schemas.openxmlformats.org/officeDocument/2006/relationships/worksheet" Target="/xl/worksheets/sheet1.xml" Id="Rc1836910e36847f6" /><Relationship Type="http://schemas.openxmlformats.org/officeDocument/2006/relationships/worksheet" Target="/xl/worksheets/sheet2.xml" Id="R216fa986082940c0" /><Relationship Type="http://schemas.openxmlformats.org/officeDocument/2006/relationships/worksheet" Target="/xl/worksheets/sheet3.xml" Id="R66efc8a9085d47ab" /><Relationship Type="http://schemas.openxmlformats.org/officeDocument/2006/relationships/worksheet" Target="/xl/worksheets/sheet4.xml" Id="Re5172ece818b45e5" /><Relationship Type="http://schemas.openxmlformats.org/officeDocument/2006/relationships/worksheet" Target="/xl/worksheets/sheet5.xml" Id="R179316aeaa0b459d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sheetData>
    <x:row r="1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>
      <x:c r="A2" s="1" t="s">
        <x:v>16</x:v>
      </x:c>
      <x:c r="B2" s="1" t="s">
        <x:v>17</x:v>
      </x:c>
      <x:c r="C2" s="1" t="s">
        <x:v>17</x:v>
      </x:c>
      <x:c r="D2" s="1" t="s">
        <x:v>18</x:v>
      </x:c>
      <x:c r="E2" s="1" t="s">
        <x:v>19</x:v>
      </x:c>
      <x:c r="F2" s="1" t="s">
        <x:v>19</x:v>
      </x:c>
      <x:c r="G2" s="1" t="s">
        <x:v>19</x:v>
      </x:c>
      <x:c r="H2" s="1" t="s">
        <x:v>19</x:v>
      </x:c>
      <x:c r="I2" s="1" t="s">
        <x:v>19</x:v>
      </x:c>
      <x:c r="J2" s="1" t="s">
        <x:v>19</x:v>
      </x:c>
      <x:c r="K2" s="1" t="s">
        <x:v>19</x:v>
      </x:c>
      <x:c r="L2" s="1" t="s">
        <x:v>19</x:v>
      </x:c>
      <x:c r="M2" s="1" t="s">
        <x:v>19</x:v>
      </x:c>
      <x:c r="N2" s="1" t="s">
        <x:v>19</x:v>
      </x:c>
      <x:c r="O2" s="1" t="s">
        <x:v>19</x:v>
      </x:c>
      <x:c r="P2" s="1" t="s">
        <x:v>19</x:v>
      </x:c>
    </x:row>
    <x:row r="3">
      <x:c r="A3" s="1" t="s">
        <x:v>20</x:v>
      </x:c>
      <x:c r="B3" s="1" t="s">
        <x:v>21</x:v>
      </x:c>
      <x:c r="C3" s="1" t="s">
        <x:v>22</x:v>
      </x:c>
      <x:c r="D3" s="1" t="s">
        <x:v>23</x:v>
      </x:c>
      <x:c r="E3" s="1" t="s">
        <x:v>24</x:v>
      </x:c>
      <x:c r="F3" s="1" t="s">
        <x:v>25</x:v>
      </x:c>
      <x:c r="G3" s="1" t="s">
        <x:v>19</x:v>
      </x:c>
      <x:c r="H3" s="1" t="s">
        <x:v>19</x:v>
      </x:c>
      <x:c r="I3" s="1" t="s">
        <x:v>19</x:v>
      </x:c>
      <x:c r="J3" s="1" t="s">
        <x:v>19</x:v>
      </x:c>
      <x:c r="K3" s="1" t="s">
        <x:v>19</x:v>
      </x:c>
      <x:c r="L3" s="1" t="s">
        <x:v>19</x:v>
      </x:c>
      <x:c r="M3" s="1" t="s">
        <x:v>19</x:v>
      </x:c>
      <x:c r="N3" s="1" t="s">
        <x:v>19</x:v>
      </x:c>
      <x:c r="O3" s="1" t="s">
        <x:v>19</x:v>
      </x:c>
      <x:c r="P3" s="1" t="s">
        <x:v>19</x:v>
      </x:c>
    </x:row>
    <x:row r="4">
      <x:c r="A4" s="1" t="s">
        <x:v>26</x:v>
      </x:c>
      <x:c r="B4" s="1" t="s">
        <x:v>27</x:v>
      </x:c>
      <x:c r="C4" s="1" t="s">
        <x:v>28</x:v>
      </x:c>
      <x:c r="D4" s="1" t="s">
        <x:v>29</x:v>
      </x:c>
      <x:c r="E4" s="1" t="s">
        <x:v>30</x:v>
      </x:c>
      <x:c r="F4" s="1" t="s">
        <x:v>31</x:v>
      </x:c>
      <x:c r="G4" s="1" t="s">
        <x:v>32</x:v>
      </x:c>
      <x:c r="H4" s="1" t="s">
        <x:v>19</x:v>
      </x:c>
      <x:c r="I4" s="1" t="s">
        <x:v>19</x:v>
      </x:c>
      <x:c r="J4" s="1" t="s">
        <x:v>19</x:v>
      </x:c>
      <x:c r="K4" s="1" t="s">
        <x:v>19</x:v>
      </x:c>
      <x:c r="L4" s="1" t="s">
        <x:v>19</x:v>
      </x:c>
      <x:c r="M4" s="1" t="s">
        <x:v>19</x:v>
      </x:c>
      <x:c r="N4" s="1" t="s">
        <x:v>19</x:v>
      </x:c>
      <x:c r="O4" s="1" t="s">
        <x:v>19</x:v>
      </x:c>
      <x:c r="P4" s="1" t="s">
        <x:v>19</x:v>
      </x:c>
    </x:row>
    <x:row r="5">
      <x:c r="A5" s="1" t="s">
        <x:v>33</x:v>
      </x:c>
      <x:c r="B5" s="1" t="s">
        <x:v>34</x:v>
      </x:c>
      <x:c r="C5" s="1" t="s">
        <x:v>35</x:v>
      </x:c>
      <x:c r="D5" s="1" t="s">
        <x:v>36</x:v>
      </x:c>
      <x:c r="E5" s="1" t="s">
        <x:v>24</x:v>
      </x:c>
      <x:c r="F5" s="1" t="s">
        <x:v>37</x:v>
      </x:c>
      <x:c r="G5" s="1" t="s">
        <x:v>38</x:v>
      </x:c>
      <x:c r="H5" s="1" t="s">
        <x:v>39</x:v>
      </x:c>
      <x:c r="I5" s="1" t="s">
        <x:v>19</x:v>
      </x:c>
      <x:c r="J5" s="1" t="s">
        <x:v>19</x:v>
      </x:c>
      <x:c r="K5" s="1" t="s">
        <x:v>19</x:v>
      </x:c>
      <x:c r="L5" s="1" t="s">
        <x:v>19</x:v>
      </x:c>
      <x:c r="M5" s="1" t="s">
        <x:v>19</x:v>
      </x:c>
      <x:c r="N5" s="1" t="s">
        <x:v>19</x:v>
      </x:c>
      <x:c r="O5" s="1" t="s">
        <x:v>19</x:v>
      </x:c>
      <x:c r="P5" s="1" t="s">
        <x:v>19</x:v>
      </x:c>
    </x:row>
    <x:row r="6">
      <x:c r="A6" s="1" t="s">
        <x:v>40</x:v>
      </x:c>
      <x:c r="B6" s="1" t="s">
        <x:v>41</x:v>
      </x:c>
      <x:c r="C6" s="1" t="s">
        <x:v>42</x:v>
      </x:c>
      <x:c r="D6" s="1" t="s">
        <x:v>43</x:v>
      </x:c>
      <x:c r="E6" s="1" t="s">
        <x:v>44</x:v>
      </x:c>
      <x:c r="F6" s="1" t="s">
        <x:v>45</x:v>
      </x:c>
      <x:c r="G6" s="1" t="s">
        <x:v>46</x:v>
      </x:c>
      <x:c r="H6" s="1" t="s">
        <x:v>47</x:v>
      </x:c>
      <x:c r="I6" s="1" t="s">
        <x:v>48</x:v>
      </x:c>
      <x:c r="J6" s="1" t="s">
        <x:v>19</x:v>
      </x:c>
      <x:c r="K6" s="1" t="s">
        <x:v>19</x:v>
      </x:c>
      <x:c r="L6" s="1" t="s">
        <x:v>19</x:v>
      </x:c>
      <x:c r="M6" s="1" t="s">
        <x:v>19</x:v>
      </x:c>
      <x:c r="N6" s="1" t="s">
        <x:v>19</x:v>
      </x:c>
      <x:c r="O6" s="1" t="s">
        <x:v>19</x:v>
      </x:c>
      <x:c r="P6" s="1" t="s">
        <x:v>19</x:v>
      </x:c>
    </x:row>
    <x:row r="7">
      <x:c r="A7" s="1" t="s">
        <x:v>49</x:v>
      </x:c>
      <x:c r="B7" s="1" t="s">
        <x:v>50</x:v>
      </x:c>
      <x:c r="C7" s="1" t="s">
        <x:v>51</x:v>
      </x:c>
      <x:c r="D7" s="1" t="s">
        <x:v>52</x:v>
      </x:c>
      <x:c r="E7" s="1" t="s">
        <x:v>53</x:v>
      </x:c>
      <x:c r="F7" s="1" t="s">
        <x:v>54</x:v>
      </x:c>
      <x:c r="G7" s="1" t="s">
        <x:v>55</x:v>
      </x:c>
      <x:c r="H7" s="1" t="s">
        <x:v>39</x:v>
      </x:c>
      <x:c r="I7" s="1" t="s">
        <x:v>56</x:v>
      </x:c>
      <x:c r="J7" s="1" t="s">
        <x:v>19</x:v>
      </x:c>
      <x:c r="K7" s="1" t="s">
        <x:v>19</x:v>
      </x:c>
      <x:c r="L7" s="1" t="s">
        <x:v>19</x:v>
      </x:c>
      <x:c r="M7" s="1" t="s">
        <x:v>19</x:v>
      </x:c>
      <x:c r="N7" s="1" t="s">
        <x:v>19</x:v>
      </x:c>
      <x:c r="O7" s="1" t="s">
        <x:v>19</x:v>
      </x:c>
      <x:c r="P7" s="1" t="s">
        <x:v>19</x:v>
      </x:c>
    </x:row>
    <x:row r="8">
      <x:c r="A8" s="1" t="s">
        <x:v>57</x:v>
      </x:c>
      <x:c r="B8" s="1" t="s">
        <x:v>41</x:v>
      </x:c>
      <x:c r="C8" s="1" t="s">
        <x:v>58</x:v>
      </x:c>
      <x:c r="D8" s="1" t="s">
        <x:v>59</x:v>
      </x:c>
      <x:c r="E8" s="1" t="s">
        <x:v>60</x:v>
      </x:c>
      <x:c r="F8" s="1" t="s">
        <x:v>61</x:v>
      </x:c>
      <x:c r="G8" s="1" t="s">
        <x:v>62</x:v>
      </x:c>
      <x:c r="H8" s="1" t="s">
        <x:v>63</x:v>
      </x:c>
      <x:c r="I8" s="1" t="s">
        <x:v>64</x:v>
      </x:c>
      <x:c r="J8" s="1" t="s">
        <x:v>19</x:v>
      </x:c>
      <x:c r="K8" s="1" t="s">
        <x:v>19</x:v>
      </x:c>
      <x:c r="L8" s="1" t="s">
        <x:v>19</x:v>
      </x:c>
      <x:c r="M8" s="1" t="s">
        <x:v>19</x:v>
      </x:c>
      <x:c r="N8" s="1" t="s">
        <x:v>19</x:v>
      </x:c>
      <x:c r="O8" s="1" t="s">
        <x:v>19</x:v>
      </x:c>
      <x:c r="P8" s="1" t="s">
        <x:v>19</x:v>
      </x:c>
    </x:row>
    <x:row r="9">
      <x:c r="A9" s="1" t="s">
        <x:v>65</x:v>
      </x:c>
      <x:c r="B9" s="1" t="s">
        <x:v>66</x:v>
      </x:c>
      <x:c r="C9" s="1" t="s">
        <x:v>67</x:v>
      </x:c>
      <x:c r="D9" s="1" t="s">
        <x:v>68</x:v>
      </x:c>
      <x:c r="E9" s="1" t="s">
        <x:v>69</x:v>
      </x:c>
      <x:c r="F9" s="1" t="s">
        <x:v>70</x:v>
      </x:c>
      <x:c r="G9" s="1" t="s">
        <x:v>71</x:v>
      </x:c>
      <x:c r="H9" s="1" t="s">
        <x:v>72</x:v>
      </x:c>
      <x:c r="I9" s="1" t="s">
        <x:v>64</x:v>
      </x:c>
      <x:c r="J9" s="1" t="s">
        <x:v>19</x:v>
      </x:c>
      <x:c r="K9" s="1" t="s">
        <x:v>19</x:v>
      </x:c>
      <x:c r="L9" s="1" t="s">
        <x:v>19</x:v>
      </x:c>
      <x:c r="M9" s="1" t="s">
        <x:v>19</x:v>
      </x:c>
      <x:c r="N9" s="1" t="s">
        <x:v>19</x:v>
      </x:c>
      <x:c r="O9" s="1" t="s">
        <x:v>19</x:v>
      </x:c>
      <x:c r="P9" s="1" t="s">
        <x:v>19</x:v>
      </x:c>
    </x:row>
    <x:row r="10">
      <x:c r="A10" s="1" t="s">
        <x:v>73</x:v>
      </x:c>
      <x:c r="B10" s="1" t="s">
        <x:v>74</x:v>
      </x:c>
      <x:c r="C10" s="1" t="s">
        <x:v>75</x:v>
      </x:c>
      <x:c r="D10" s="1" t="s">
        <x:v>76</x:v>
      </x:c>
      <x:c r="E10" s="1" t="s">
        <x:v>77</x:v>
      </x:c>
      <x:c r="F10" s="1" t="s">
        <x:v>78</x:v>
      </x:c>
      <x:c r="G10" s="1" t="s">
        <x:v>79</x:v>
      </x:c>
      <x:c r="H10" s="1" t="s">
        <x:v>80</x:v>
      </x:c>
      <x:c r="I10" s="1" t="s">
        <x:v>56</x:v>
      </x:c>
      <x:c r="J10" s="1" t="s">
        <x:v>19</x:v>
      </x:c>
      <x:c r="K10" s="1" t="s">
        <x:v>19</x:v>
      </x:c>
      <x:c r="L10" s="1" t="s">
        <x:v>19</x:v>
      </x:c>
      <x:c r="M10" s="1" t="s">
        <x:v>19</x:v>
      </x:c>
      <x:c r="N10" s="1" t="s">
        <x:v>19</x:v>
      </x:c>
      <x:c r="O10" s="1" t="s">
        <x:v>19</x:v>
      </x:c>
      <x:c r="P10" s="1" t="s">
        <x:v>19</x:v>
      </x:c>
    </x:row>
    <x:row r="11">
      <x:c r="A11" s="1" t="s">
        <x:v>81</x:v>
      </x:c>
      <x:c r="B11" s="1" t="s">
        <x:v>82</x:v>
      </x:c>
      <x:c r="C11" s="1" t="s">
        <x:v>83</x:v>
      </x:c>
      <x:c r="D11" s="1" t="s">
        <x:v>84</x:v>
      </x:c>
      <x:c r="E11" s="1" t="s">
        <x:v>85</x:v>
      </x:c>
      <x:c r="F11" s="1" t="s">
        <x:v>86</x:v>
      </x:c>
      <x:c r="G11" s="1" t="s">
        <x:v>87</x:v>
      </x:c>
      <x:c r="H11" s="1" t="s">
        <x:v>88</x:v>
      </x:c>
      <x:c r="I11" s="1" t="s">
        <x:v>56</x:v>
      </x:c>
      <x:c r="J11" s="1" t="s">
        <x:v>89</x:v>
      </x:c>
      <x:c r="K11" s="1" t="s">
        <x:v>19</x:v>
      </x:c>
      <x:c r="L11" s="1" t="s">
        <x:v>19</x:v>
      </x:c>
      <x:c r="M11" s="1" t="s">
        <x:v>19</x:v>
      </x:c>
      <x:c r="N11" s="1" t="s">
        <x:v>19</x:v>
      </x:c>
      <x:c r="O11" s="1" t="s">
        <x:v>19</x:v>
      </x:c>
      <x:c r="P11" s="1" t="s">
        <x:v>19</x:v>
      </x:c>
    </x:row>
    <x:row r="12">
      <x:c r="A12" s="1" t="s">
        <x:v>90</x:v>
      </x:c>
      <x:c r="B12" s="1" t="s">
        <x:v>91</x:v>
      </x:c>
      <x:c r="C12" s="1" t="s">
        <x:v>92</x:v>
      </x:c>
      <x:c r="D12" s="1" t="s">
        <x:v>93</x:v>
      </x:c>
      <x:c r="E12" s="1" t="s">
        <x:v>77</x:v>
      </x:c>
      <x:c r="F12" s="1" t="s">
        <x:v>94</x:v>
      </x:c>
      <x:c r="G12" s="1" t="s">
        <x:v>95</x:v>
      </x:c>
      <x:c r="H12" s="1" t="s">
        <x:v>96</x:v>
      </x:c>
      <x:c r="I12" s="1" t="s">
        <x:v>97</x:v>
      </x:c>
      <x:c r="J12" s="1" t="s">
        <x:v>98</x:v>
      </x:c>
      <x:c r="K12" s="1" t="s">
        <x:v>19</x:v>
      </x:c>
      <x:c r="L12" s="1" t="s">
        <x:v>19</x:v>
      </x:c>
      <x:c r="M12" s="1" t="s">
        <x:v>19</x:v>
      </x:c>
      <x:c r="N12" s="1" t="s">
        <x:v>19</x:v>
      </x:c>
      <x:c r="O12" s="1" t="s">
        <x:v>19</x:v>
      </x:c>
      <x:c r="P12" s="1" t="s">
        <x:v>19</x:v>
      </x:c>
    </x:row>
    <x:row r="13">
      <x:c r="A13" s="1" t="s">
        <x:v>99</x:v>
      </x:c>
      <x:c r="B13" s="1" t="s">
        <x:v>100</x:v>
      </x:c>
      <x:c r="C13" s="1" t="s">
        <x:v>101</x:v>
      </x:c>
      <x:c r="D13" s="1" t="s">
        <x:v>102</x:v>
      </x:c>
      <x:c r="E13" s="1" t="s">
        <x:v>103</x:v>
      </x:c>
      <x:c r="F13" s="1" t="s">
        <x:v>104</x:v>
      </x:c>
      <x:c r="G13" s="1" t="s">
        <x:v>105</x:v>
      </x:c>
      <x:c r="H13" s="1" t="s">
        <x:v>39</x:v>
      </x:c>
      <x:c r="I13" s="1" t="s">
        <x:v>106</x:v>
      </x:c>
      <x:c r="J13" s="1" t="s">
        <x:v>107</x:v>
      </x:c>
      <x:c r="K13" s="1" t="s">
        <x:v>108</x:v>
      </x:c>
      <x:c r="L13" s="1" t="s">
        <x:v>19</x:v>
      </x:c>
      <x:c r="M13" s="1" t="s">
        <x:v>19</x:v>
      </x:c>
      <x:c r="N13" s="1" t="s">
        <x:v>19</x:v>
      </x:c>
      <x:c r="O13" s="1" t="s">
        <x:v>19</x:v>
      </x:c>
      <x:c r="P13" s="1" t="s">
        <x:v>19</x:v>
      </x:c>
    </x:row>
    <x:row r="14">
      <x:c r="A14" s="1" t="s">
        <x:v>109</x:v>
      </x:c>
      <x:c r="B14" s="1" t="s">
        <x:v>110</x:v>
      </x:c>
      <x:c r="C14" s="1" t="s">
        <x:v>111</x:v>
      </x:c>
      <x:c r="D14" s="1" t="s">
        <x:v>112</x:v>
      </x:c>
      <x:c r="E14" s="1" t="s">
        <x:v>113</x:v>
      </x:c>
      <x:c r="F14" s="1" t="s">
        <x:v>114</x:v>
      </x:c>
      <x:c r="G14" s="1" t="s">
        <x:v>115</x:v>
      </x:c>
      <x:c r="H14" s="1" t="s">
        <x:v>19</x:v>
      </x:c>
      <x:c r="I14" s="1" t="s">
        <x:v>116</x:v>
      </x:c>
      <x:c r="J14" s="1" t="s">
        <x:v>117</x:v>
      </x:c>
      <x:c r="K14" s="1" t="s">
        <x:v>118</x:v>
      </x:c>
      <x:c r="L14" s="1" t="s">
        <x:v>19</x:v>
      </x:c>
      <x:c r="M14" s="1" t="s">
        <x:v>19</x:v>
      </x:c>
      <x:c r="N14" s="1" t="s">
        <x:v>19</x:v>
      </x:c>
      <x:c r="O14" s="1" t="s">
        <x:v>19</x:v>
      </x:c>
      <x:c r="P14" s="1" t="s">
        <x:v>19</x:v>
      </x:c>
    </x:row>
    <x:row r="15">
      <x:c r="A15" s="1" t="s">
        <x:v>119</x:v>
      </x:c>
      <x:c r="B15" s="1" t="s">
        <x:v>120</x:v>
      </x:c>
      <x:c r="C15" s="1" t="s">
        <x:v>121</x:v>
      </x:c>
      <x:c r="D15" s="1" t="s">
        <x:v>122</x:v>
      </x:c>
      <x:c r="E15" s="1" t="s">
        <x:v>123</x:v>
      </x:c>
      <x:c r="F15" s="1" t="s">
        <x:v>124</x:v>
      </x:c>
      <x:c r="G15" s="1" t="s">
        <x:v>125</x:v>
      </x:c>
      <x:c r="H15" s="1" t="s">
        <x:v>19</x:v>
      </x:c>
      <x:c r="I15" s="1" t="s">
        <x:v>126</x:v>
      </x:c>
      <x:c r="J15" s="1" t="s">
        <x:v>127</x:v>
      </x:c>
      <x:c r="K15" s="1" t="s">
        <x:v>128</x:v>
      </x:c>
      <x:c r="L15" s="1" t="s">
        <x:v>19</x:v>
      </x:c>
      <x:c r="M15" s="1" t="s">
        <x:v>19</x:v>
      </x:c>
      <x:c r="N15" s="1" t="s">
        <x:v>19</x:v>
      </x:c>
      <x:c r="O15" s="1" t="s">
        <x:v>19</x:v>
      </x:c>
      <x:c r="P15" s="1" t="s">
        <x:v>19</x:v>
      </x:c>
    </x:row>
    <x:row r="16">
      <x:c r="A16" s="1" t="s">
        <x:v>129</x:v>
      </x:c>
      <x:c r="B16" s="1" t="s">
        <x:v>130</x:v>
      </x:c>
      <x:c r="C16" s="1" t="s">
        <x:v>131</x:v>
      </x:c>
      <x:c r="D16" s="1" t="s">
        <x:v>132</x:v>
      </x:c>
      <x:c r="E16" s="1" t="s">
        <x:v>85</x:v>
      </x:c>
      <x:c r="F16" s="1" t="s">
        <x:v>133</x:v>
      </x:c>
      <x:c r="G16" s="1" t="s">
        <x:v>134</x:v>
      </x:c>
      <x:c r="H16" s="1" t="s">
        <x:v>19</x:v>
      </x:c>
      <x:c r="I16" s="1" t="s">
        <x:v>135</x:v>
      </x:c>
      <x:c r="J16" s="1" t="s">
        <x:v>136</x:v>
      </x:c>
      <x:c r="K16" s="1" t="s">
        <x:v>30</x:v>
      </x:c>
      <x:c r="L16" s="1" t="s">
        <x:v>19</x:v>
      </x:c>
      <x:c r="M16" s="1" t="s">
        <x:v>19</x:v>
      </x:c>
      <x:c r="N16" s="1" t="s">
        <x:v>19</x:v>
      </x:c>
      <x:c r="O16" s="1" t="s">
        <x:v>19</x:v>
      </x:c>
      <x:c r="P16" s="1" t="s">
        <x:v>19</x:v>
      </x:c>
    </x:row>
    <x:row r="17">
      <x:c r="A17" s="1" t="s">
        <x:v>137</x:v>
      </x:c>
      <x:c r="B17" s="1" t="s">
        <x:v>138</x:v>
      </x:c>
      <x:c r="C17" s="1" t="s">
        <x:v>139</x:v>
      </x:c>
      <x:c r="D17" s="1" t="s">
        <x:v>140</x:v>
      </x:c>
      <x:c r="E17" s="1" t="s">
        <x:v>141</x:v>
      </x:c>
      <x:c r="F17" s="1" t="s">
        <x:v>142</x:v>
      </x:c>
      <x:c r="G17" s="1" t="s">
        <x:v>143</x:v>
      </x:c>
      <x:c r="H17" s="1" t="s">
        <x:v>19</x:v>
      </x:c>
      <x:c r="I17" s="1" t="s">
        <x:v>144</x:v>
      </x:c>
      <x:c r="J17" s="1" t="s">
        <x:v>145</x:v>
      </x:c>
      <x:c r="K17" s="1" t="s">
        <x:v>146</x:v>
      </x:c>
      <x:c r="L17" s="1" t="s">
        <x:v>19</x:v>
      </x:c>
      <x:c r="M17" s="1" t="s">
        <x:v>19</x:v>
      </x:c>
      <x:c r="N17" s="1" t="s">
        <x:v>19</x:v>
      </x:c>
      <x:c r="O17" s="1" t="s">
        <x:v>19</x:v>
      </x:c>
      <x:c r="P17" s="1" t="s">
        <x:v>19</x:v>
      </x:c>
    </x:row>
    <x:row r="18">
      <x:c r="A18" s="1" t="s">
        <x:v>147</x:v>
      </x:c>
      <x:c r="B18" s="1" t="s">
        <x:v>148</x:v>
      </x:c>
      <x:c r="C18" s="1" t="s">
        <x:v>149</x:v>
      </x:c>
      <x:c r="D18" s="1" t="s">
        <x:v>150</x:v>
      </x:c>
      <x:c r="E18" s="1" t="s">
        <x:v>46</x:v>
      </x:c>
      <x:c r="F18" s="1" t="s">
        <x:v>151</x:v>
      </x:c>
      <x:c r="G18" s="1" t="s">
        <x:v>125</x:v>
      </x:c>
      <x:c r="H18" s="1" t="s">
        <x:v>19</x:v>
      </x:c>
      <x:c r="I18" s="1" t="s">
        <x:v>152</x:v>
      </x:c>
      <x:c r="J18" s="1" t="s">
        <x:v>127</x:v>
      </x:c>
      <x:c r="K18" s="1" t="s">
        <x:v>30</x:v>
      </x:c>
      <x:c r="L18" s="1" t="s">
        <x:v>19</x:v>
      </x:c>
      <x:c r="M18" s="1" t="s">
        <x:v>19</x:v>
      </x:c>
      <x:c r="N18" s="1" t="s">
        <x:v>19</x:v>
      </x:c>
      <x:c r="O18" s="1" t="s">
        <x:v>19</x:v>
      </x:c>
      <x:c r="P18" s="1" t="s">
        <x:v>19</x:v>
      </x:c>
    </x:row>
    <x:row r="19">
      <x:c r="A19" s="1" t="s">
        <x:v>153</x:v>
      </x:c>
      <x:c r="B19" s="1" t="s">
        <x:v>154</x:v>
      </x:c>
      <x:c r="C19" s="1" t="s">
        <x:v>155</x:v>
      </x:c>
      <x:c r="D19" s="1" t="s">
        <x:v>156</x:v>
      </x:c>
      <x:c r="E19" s="1" t="s">
        <x:v>157</x:v>
      </x:c>
      <x:c r="F19" s="1" t="s">
        <x:v>158</x:v>
      </x:c>
      <x:c r="G19" s="1" t="s">
        <x:v>159</x:v>
      </x:c>
      <x:c r="H19" s="1" t="s">
        <x:v>19</x:v>
      </x:c>
      <x:c r="I19" s="1" t="s">
        <x:v>152</x:v>
      </x:c>
      <x:c r="J19" s="1" t="s">
        <x:v>160</x:v>
      </x:c>
      <x:c r="K19" s="1" t="s">
        <x:v>71</x:v>
      </x:c>
      <x:c r="L19" s="1" t="s">
        <x:v>19</x:v>
      </x:c>
      <x:c r="M19" s="1" t="s">
        <x:v>19</x:v>
      </x:c>
      <x:c r="N19" s="1" t="s">
        <x:v>19</x:v>
      </x:c>
      <x:c r="O19" s="1" t="s">
        <x:v>19</x:v>
      </x:c>
      <x:c r="P19" s="1" t="s">
        <x:v>19</x:v>
      </x:c>
    </x:row>
    <x:row r="20">
      <x:c r="A20" s="1" t="s">
        <x:v>161</x:v>
      </x:c>
      <x:c r="B20" s="1" t="s">
        <x:v>162</x:v>
      </x:c>
      <x:c r="C20" s="1" t="s">
        <x:v>163</x:v>
      </x:c>
      <x:c r="D20" s="1" t="s">
        <x:v>164</x:v>
      </x:c>
      <x:c r="E20" s="1" t="s">
        <x:v>125</x:v>
      </x:c>
      <x:c r="F20" s="1" t="s">
        <x:v>165</x:v>
      </x:c>
      <x:c r="G20" s="1" t="s">
        <x:v>166</x:v>
      </x:c>
      <x:c r="H20" s="1" t="s">
        <x:v>19</x:v>
      </x:c>
      <x:c r="I20" s="1" t="s">
        <x:v>106</x:v>
      </x:c>
      <x:c r="J20" s="1" t="s">
        <x:v>167</x:v>
      </x:c>
      <x:c r="K20" s="1" t="s">
        <x:v>32</x:v>
      </x:c>
      <x:c r="L20" s="1" t="s">
        <x:v>19</x:v>
      </x:c>
      <x:c r="M20" s="1" t="s">
        <x:v>19</x:v>
      </x:c>
      <x:c r="N20" s="1" t="s">
        <x:v>19</x:v>
      </x:c>
      <x:c r="O20" s="1" t="s">
        <x:v>19</x:v>
      </x:c>
      <x:c r="P20" s="1" t="s">
        <x:v>19</x:v>
      </x:c>
    </x:row>
    <x:row r="21">
      <x:c r="A21" s="1" t="s">
        <x:v>168</x:v>
      </x:c>
      <x:c r="B21" s="1" t="s">
        <x:v>169</x:v>
      </x:c>
      <x:c r="C21" s="1" t="s">
        <x:v>170</x:v>
      </x:c>
      <x:c r="D21" s="1" t="s">
        <x:v>171</x:v>
      </x:c>
      <x:c r="E21" s="1" t="s">
        <x:v>172</x:v>
      </x:c>
      <x:c r="F21" s="1" t="s">
        <x:v>173</x:v>
      </x:c>
      <x:c r="G21" s="1" t="s">
        <x:v>174</x:v>
      </x:c>
      <x:c r="H21" s="1" t="s">
        <x:v>19</x:v>
      </x:c>
      <x:c r="I21" s="1" t="s">
        <x:v>175</x:v>
      </x:c>
      <x:c r="J21" s="1" t="s">
        <x:v>176</x:v>
      </x:c>
      <x:c r="K21" s="1" t="s">
        <x:v>24</x:v>
      </x:c>
      <x:c r="L21" s="1" t="s">
        <x:v>19</x:v>
      </x:c>
      <x:c r="M21" s="1" t="s">
        <x:v>19</x:v>
      </x:c>
      <x:c r="N21" s="1" t="s">
        <x:v>19</x:v>
      </x:c>
      <x:c r="O21" s="1" t="s">
        <x:v>19</x:v>
      </x:c>
      <x:c r="P21" s="1" t="s">
        <x:v>19</x:v>
      </x:c>
    </x:row>
    <x:row r="22">
      <x:c r="A22" s="1" t="s">
        <x:v>177</x:v>
      </x:c>
      <x:c r="B22" s="1" t="s">
        <x:v>178</x:v>
      </x:c>
      <x:c r="C22" s="1" t="s">
        <x:v>179</x:v>
      </x:c>
      <x:c r="D22" s="1" t="s">
        <x:v>164</x:v>
      </x:c>
      <x:c r="E22" s="1" t="s">
        <x:v>180</x:v>
      </x:c>
      <x:c r="F22" s="1" t="s">
        <x:v>181</x:v>
      </x:c>
      <x:c r="G22" s="1" t="s">
        <x:v>180</x:v>
      </x:c>
      <x:c r="H22" s="1" t="s">
        <x:v>19</x:v>
      </x:c>
      <x:c r="I22" s="1" t="s">
        <x:v>106</x:v>
      </x:c>
      <x:c r="J22" s="1" t="s">
        <x:v>136</x:v>
      </x:c>
      <x:c r="K22" s="1" t="s">
        <x:v>182</x:v>
      </x:c>
      <x:c r="L22" s="1" t="s">
        <x:v>19</x:v>
      </x:c>
      <x:c r="M22" s="1" t="s">
        <x:v>19</x:v>
      </x:c>
      <x:c r="N22" s="1" t="s">
        <x:v>19</x:v>
      </x:c>
      <x:c r="O22" s="1" t="s">
        <x:v>19</x:v>
      </x:c>
      <x:c r="P22" s="1" t="s">
        <x:v>19</x:v>
      </x:c>
    </x:row>
    <x:row r="23">
      <x:c r="A23" s="1" t="s">
        <x:v>183</x:v>
      </x:c>
      <x:c r="B23" s="1" t="s">
        <x:v>184</x:v>
      </x:c>
      <x:c r="C23" s="1" t="s">
        <x:v>185</x:v>
      </x:c>
      <x:c r="D23" s="1" t="s">
        <x:v>186</x:v>
      </x:c>
      <x:c r="E23" s="1" t="s">
        <x:v>125</x:v>
      </x:c>
      <x:c r="F23" s="1" t="s">
        <x:v>187</x:v>
      </x:c>
      <x:c r="G23" s="1" t="s">
        <x:v>188</x:v>
      </x:c>
      <x:c r="H23" s="1" t="s">
        <x:v>189</x:v>
      </x:c>
      <x:c r="I23" s="1" t="s">
        <x:v>116</x:v>
      </x:c>
      <x:c r="J23" s="1" t="s">
        <x:v>127</x:v>
      </x:c>
      <x:c r="K23" s="1" t="s">
        <x:v>128</x:v>
      </x:c>
      <x:c r="L23" s="1" t="s">
        <x:v>19</x:v>
      </x:c>
      <x:c r="M23" s="1" t="s">
        <x:v>19</x:v>
      </x:c>
      <x:c r="N23" s="1" t="s">
        <x:v>19</x:v>
      </x:c>
      <x:c r="O23" s="1" t="s">
        <x:v>19</x:v>
      </x:c>
      <x:c r="P23" s="1" t="s">
        <x:v>19</x:v>
      </x:c>
    </x:row>
    <x:row r="24">
      <x:c r="A24" s="1" t="s">
        <x:v>190</x:v>
      </x:c>
      <x:c r="B24" s="1" t="s">
        <x:v>191</x:v>
      </x:c>
      <x:c r="C24" s="1" t="s">
        <x:v>192</x:v>
      </x:c>
      <x:c r="D24" s="1" t="s">
        <x:v>193</x:v>
      </x:c>
      <x:c r="E24" s="1" t="s">
        <x:v>159</x:v>
      </x:c>
      <x:c r="F24" s="1" t="s">
        <x:v>194</x:v>
      </x:c>
      <x:c r="G24" s="1" t="s">
        <x:v>159</x:v>
      </x:c>
      <x:c r="H24" s="1" t="s">
        <x:v>195</x:v>
      </x:c>
      <x:c r="I24" s="1" t="s">
        <x:v>97</x:v>
      </x:c>
      <x:c r="J24" s="1" t="s">
        <x:v>196</x:v>
      </x:c>
      <x:c r="K24" s="1" t="s">
        <x:v>197</x:v>
      </x:c>
      <x:c r="L24" s="1" t="s">
        <x:v>19</x:v>
      </x:c>
      <x:c r="M24" s="1" t="s">
        <x:v>19</x:v>
      </x:c>
      <x:c r="N24" s="1" t="s">
        <x:v>19</x:v>
      </x:c>
      <x:c r="O24" s="1" t="s">
        <x:v>19</x:v>
      </x:c>
      <x:c r="P24" s="1" t="s">
        <x:v>19</x:v>
      </x:c>
    </x:row>
    <x:row r="25">
      <x:c r="A25" s="1" t="s">
        <x:v>198</x:v>
      </x:c>
      <x:c r="B25" s="1" t="s">
        <x:v>199</x:v>
      </x:c>
      <x:c r="C25" s="1" t="s">
        <x:v>200</x:v>
      </x:c>
      <x:c r="D25" s="1" t="s">
        <x:v>201</x:v>
      </x:c>
      <x:c r="E25" s="1" t="s">
        <x:v>202</x:v>
      </x:c>
      <x:c r="F25" s="1" t="s">
        <x:v>203</x:v>
      </x:c>
      <x:c r="G25" s="1" t="s">
        <x:v>204</x:v>
      </x:c>
      <x:c r="H25" s="1" t="s">
        <x:v>19</x:v>
      </x:c>
      <x:c r="I25" s="1" t="s">
        <x:v>205</x:v>
      </x:c>
      <x:c r="J25" s="1" t="s">
        <x:v>167</x:v>
      </x:c>
      <x:c r="K25" s="1" t="s">
        <x:v>62</x:v>
      </x:c>
      <x:c r="L25" s="1" t="s">
        <x:v>19</x:v>
      </x:c>
      <x:c r="M25" s="1" t="s">
        <x:v>19</x:v>
      </x:c>
      <x:c r="N25" s="1" t="s">
        <x:v>19</x:v>
      </x:c>
      <x:c r="O25" s="1" t="s">
        <x:v>19</x:v>
      </x:c>
      <x:c r="P25" s="1" t="s">
        <x:v>19</x:v>
      </x:c>
    </x:row>
    <x:row r="26">
      <x:c r="A26" s="1" t="s">
        <x:v>206</x:v>
      </x:c>
      <x:c r="B26" s="1" t="s">
        <x:v>28</x:v>
      </x:c>
      <x:c r="C26" s="1" t="s">
        <x:v>207</x:v>
      </x:c>
      <x:c r="D26" s="1" t="s">
        <x:v>208</x:v>
      </x:c>
      <x:c r="E26" s="1" t="s">
        <x:v>172</x:v>
      </x:c>
      <x:c r="F26" s="1" t="s">
        <x:v>209</x:v>
      </x:c>
      <x:c r="G26" s="1" t="s">
        <x:v>210</x:v>
      </x:c>
      <x:c r="H26" s="1" t="s">
        <x:v>19</x:v>
      </x:c>
      <x:c r="I26" s="1" t="s">
        <x:v>116</x:v>
      </x:c>
      <x:c r="J26" s="1" t="s">
        <x:v>211</x:v>
      </x:c>
      <x:c r="K26" s="1" t="s">
        <x:v>108</x:v>
      </x:c>
      <x:c r="L26" s="1" t="s">
        <x:v>19</x:v>
      </x:c>
      <x:c r="M26" s="1" t="s">
        <x:v>19</x:v>
      </x:c>
      <x:c r="N26" s="1" t="s">
        <x:v>19</x:v>
      </x:c>
      <x:c r="O26" s="1" t="s">
        <x:v>19</x:v>
      </x:c>
      <x:c r="P26" s="1" t="s">
        <x:v>19</x:v>
      </x:c>
    </x:row>
    <x:row r="27">
      <x:c r="A27" s="1" t="s">
        <x:v>212</x:v>
      </x:c>
      <x:c r="B27" s="1" t="s">
        <x:v>213</x:v>
      </x:c>
      <x:c r="C27" s="1" t="s">
        <x:v>214</x:v>
      </x:c>
      <x:c r="D27" s="1" t="s">
        <x:v>164</x:v>
      </x:c>
      <x:c r="E27" s="1" t="s">
        <x:v>215</x:v>
      </x:c>
      <x:c r="F27" s="1" t="s">
        <x:v>216</x:v>
      </x:c>
      <x:c r="G27" s="1" t="s">
        <x:v>217</x:v>
      </x:c>
      <x:c r="H27" s="1" t="s">
        <x:v>19</x:v>
      </x:c>
      <x:c r="I27" s="1" t="s">
        <x:v>97</x:v>
      </x:c>
      <x:c r="J27" s="1" t="s">
        <x:v>107</x:v>
      </x:c>
      <x:c r="K27" s="1" t="s">
        <x:v>128</x:v>
      </x:c>
      <x:c r="L27" s="1" t="s">
        <x:v>19</x:v>
      </x:c>
      <x:c r="M27" s="1" t="s">
        <x:v>19</x:v>
      </x:c>
      <x:c r="N27" s="1" t="s">
        <x:v>19</x:v>
      </x:c>
      <x:c r="O27" s="1" t="s">
        <x:v>19</x:v>
      </x:c>
      <x:c r="P27" s="1" t="s">
        <x:v>19</x:v>
      </x:c>
    </x:row>
    <x:row r="28">
      <x:c r="A28" s="1" t="s">
        <x:v>218</x:v>
      </x:c>
      <x:c r="B28" s="1" t="s">
        <x:v>219</x:v>
      </x:c>
      <x:c r="C28" s="1" t="s">
        <x:v>220</x:v>
      </x:c>
      <x:c r="D28" s="1" t="s">
        <x:v>164</x:v>
      </x:c>
      <x:c r="E28" s="1" t="s">
        <x:v>180</x:v>
      </x:c>
      <x:c r="F28" s="1" t="s">
        <x:v>221</x:v>
      </x:c>
      <x:c r="G28" s="1" t="s">
        <x:v>217</x:v>
      </x:c>
      <x:c r="H28" s="1" t="s">
        <x:v>19</x:v>
      </x:c>
      <x:c r="I28" s="1" t="s">
        <x:v>97</x:v>
      </x:c>
      <x:c r="J28" s="1" t="s">
        <x:v>211</x:v>
      </x:c>
      <x:c r="K28" s="1" t="s">
        <x:v>222</x:v>
      </x:c>
      <x:c r="L28" s="1" t="s">
        <x:v>19</x:v>
      </x:c>
      <x:c r="M28" s="1" t="s">
        <x:v>19</x:v>
      </x:c>
      <x:c r="N28" s="1" t="s">
        <x:v>19</x:v>
      </x:c>
      <x:c r="O28" s="1" t="s">
        <x:v>19</x:v>
      </x:c>
      <x:c r="P28" s="1" t="s">
        <x:v>19</x:v>
      </x:c>
    </x:row>
    <x:row r="29">
      <x:c r="A29" s="1" t="s">
        <x:v>223</x:v>
      </x:c>
      <x:c r="B29" s="1" t="s">
        <x:v>224</x:v>
      </x:c>
      <x:c r="C29" s="1" t="s">
        <x:v>225</x:v>
      </x:c>
      <x:c r="D29" s="1" t="s">
        <x:v>226</x:v>
      </x:c>
      <x:c r="E29" s="1" t="s">
        <x:v>197</x:v>
      </x:c>
      <x:c r="F29" s="1" t="s">
        <x:v>227</x:v>
      </x:c>
      <x:c r="G29" s="1" t="s">
        <x:v>159</x:v>
      </x:c>
      <x:c r="H29" s="1" t="s">
        <x:v>19</x:v>
      </x:c>
      <x:c r="I29" s="1" t="s">
        <x:v>175</x:v>
      </x:c>
      <x:c r="J29" s="1" t="s">
        <x:v>117</x:v>
      </x:c>
      <x:c r="K29" s="1" t="s">
        <x:v>32</x:v>
      </x:c>
      <x:c r="L29" s="1" t="s">
        <x:v>19</x:v>
      </x:c>
      <x:c r="M29" s="1" t="s">
        <x:v>19</x:v>
      </x:c>
      <x:c r="N29" s="1" t="s">
        <x:v>19</x:v>
      </x:c>
      <x:c r="O29" s="1" t="s">
        <x:v>19</x:v>
      </x:c>
      <x:c r="P29" s="1" t="s">
        <x:v>19</x:v>
      </x:c>
    </x:row>
    <x:row r="30">
      <x:c r="A30" s="1" t="s">
        <x:v>228</x:v>
      </x:c>
      <x:c r="B30" s="1" t="s">
        <x:v>229</x:v>
      </x:c>
      <x:c r="C30" s="1" t="s">
        <x:v>230</x:v>
      </x:c>
      <x:c r="D30" s="1" t="s">
        <x:v>231</x:v>
      </x:c>
      <x:c r="E30" s="1" t="s">
        <x:v>19</x:v>
      </x:c>
      <x:c r="F30" s="1" t="s">
        <x:v>232</x:v>
      </x:c>
      <x:c r="G30" s="1" t="s">
        <x:v>233</x:v>
      </x:c>
      <x:c r="H30" s="1" t="s">
        <x:v>19</x:v>
      </x:c>
      <x:c r="I30" s="1" t="s">
        <x:v>56</x:v>
      </x:c>
      <x:c r="J30" s="1" t="s">
        <x:v>89</x:v>
      </x:c>
      <x:c r="K30" s="1" t="s">
        <x:v>71</x:v>
      </x:c>
      <x:c r="L30" s="1" t="s">
        <x:v>19</x:v>
      </x:c>
      <x:c r="M30" s="1" t="s">
        <x:v>19</x:v>
      </x:c>
      <x:c r="N30" s="1" t="s">
        <x:v>19</x:v>
      </x:c>
      <x:c r="O30" s="1" t="s">
        <x:v>19</x:v>
      </x:c>
      <x:c r="P30" s="1" t="s">
        <x:v>19</x:v>
      </x:c>
    </x:row>
    <x:row r="31">
      <x:c r="A31" s="1" t="s">
        <x:v>234</x:v>
      </x:c>
      <x:c r="B31" s="1" t="s">
        <x:v>235</x:v>
      </x:c>
      <x:c r="C31" s="1" t="s">
        <x:v>236</x:v>
      </x:c>
      <x:c r="D31" s="1" t="s">
        <x:v>237</x:v>
      </x:c>
      <x:c r="E31" s="1" t="s">
        <x:v>238</x:v>
      </x:c>
      <x:c r="F31" s="1" t="s">
        <x:v>239</x:v>
      </x:c>
      <x:c r="G31" s="1" t="s">
        <x:v>174</x:v>
      </x:c>
      <x:c r="H31" s="1" t="s">
        <x:v>19</x:v>
      </x:c>
      <x:c r="I31" s="1" t="s">
        <x:v>240</x:v>
      </x:c>
      <x:c r="J31" s="1" t="s">
        <x:v>89</x:v>
      </x:c>
      <x:c r="K31" s="1" t="s">
        <x:v>71</x:v>
      </x:c>
      <x:c r="L31" s="1" t="s">
        <x:v>19</x:v>
      </x:c>
      <x:c r="M31" s="1" t="s">
        <x:v>19</x:v>
      </x:c>
      <x:c r="N31" s="1" t="s">
        <x:v>19</x:v>
      </x:c>
      <x:c r="O31" s="1" t="s">
        <x:v>19</x:v>
      </x:c>
      <x:c r="P31" s="1" t="s">
        <x:v>19</x:v>
      </x:c>
    </x:row>
    <x:row r="32">
      <x:c r="A32" s="1" t="s">
        <x:v>241</x:v>
      </x:c>
      <x:c r="B32" s="1" t="s">
        <x:v>242</x:v>
      </x:c>
      <x:c r="C32" s="1" t="s">
        <x:v>243</x:v>
      </x:c>
      <x:c r="D32" s="1" t="s">
        <x:v>244</x:v>
      </x:c>
      <x:c r="E32" s="1" t="s">
        <x:v>71</x:v>
      </x:c>
      <x:c r="F32" s="1" t="s">
        <x:v>245</x:v>
      </x:c>
      <x:c r="G32" s="1" t="s">
        <x:v>174</x:v>
      </x:c>
      <x:c r="H32" s="1" t="s">
        <x:v>19</x:v>
      </x:c>
      <x:c r="I32" s="1" t="s">
        <x:v>56</x:v>
      </x:c>
      <x:c r="J32" s="1" t="s">
        <x:v>30</x:v>
      </x:c>
      <x:c r="K32" s="1" t="s">
        <x:v>222</x:v>
      </x:c>
      <x:c r="L32" s="1" t="s">
        <x:v>19</x:v>
      </x:c>
      <x:c r="M32" s="1" t="s">
        <x:v>19</x:v>
      </x:c>
      <x:c r="N32" s="1" t="s">
        <x:v>19</x:v>
      </x:c>
      <x:c r="O32" s="1" t="s">
        <x:v>19</x:v>
      </x:c>
      <x:c r="P32" s="1" t="s">
        <x:v>19</x:v>
      </x:c>
    </x:row>
    <x:row r="33">
      <x:c r="A33" s="1" t="s">
        <x:v>246</x:v>
      </x:c>
      <x:c r="B33" s="1" t="s">
        <x:v>247</x:v>
      </x:c>
      <x:c r="C33" s="1" t="s">
        <x:v>248</x:v>
      </x:c>
      <x:c r="D33" s="1" t="s">
        <x:v>249</x:v>
      </x:c>
      <x:c r="E33" s="1" t="s">
        <x:v>71</x:v>
      </x:c>
      <x:c r="F33" s="1" t="s">
        <x:v>250</x:v>
      </x:c>
      <x:c r="G33" s="1" t="s">
        <x:v>251</x:v>
      </x:c>
      <x:c r="H33" s="1" t="s">
        <x:v>19</x:v>
      </x:c>
      <x:c r="I33" s="1" t="s">
        <x:v>252</x:v>
      </x:c>
      <x:c r="J33" s="1" t="s">
        <x:v>253</x:v>
      </x:c>
      <x:c r="K33" s="1" t="s">
        <x:v>222</x:v>
      </x:c>
      <x:c r="L33" s="1" t="s">
        <x:v>19</x:v>
      </x:c>
      <x:c r="M33" s="1" t="s">
        <x:v>19</x:v>
      </x:c>
      <x:c r="N33" s="1" t="s">
        <x:v>19</x:v>
      </x:c>
      <x:c r="O33" s="1" t="s">
        <x:v>19</x:v>
      </x:c>
      <x:c r="P33" s="1" t="s">
        <x:v>19</x:v>
      </x:c>
    </x:row>
    <x:row r="34">
      <x:c r="A34" s="1" t="s">
        <x:v>254</x:v>
      </x:c>
      <x:c r="B34" s="1" t="s">
        <x:v>255</x:v>
      </x:c>
      <x:c r="C34" s="1" t="s">
        <x:v>256</x:v>
      </x:c>
      <x:c r="D34" s="1" t="s">
        <x:v>257</x:v>
      </x:c>
      <x:c r="E34" s="1" t="s">
        <x:v>258</x:v>
      </x:c>
      <x:c r="F34" s="1" t="s">
        <x:v>259</x:v>
      </x:c>
      <x:c r="G34" s="1" t="s">
        <x:v>180</x:v>
      </x:c>
      <x:c r="H34" s="1" t="s">
        <x:v>19</x:v>
      </x:c>
      <x:c r="I34" s="1" t="s">
        <x:v>205</x:v>
      </x:c>
      <x:c r="J34" s="1" t="s">
        <x:v>238</x:v>
      </x:c>
      <x:c r="K34" s="1" t="s">
        <x:v>87</x:v>
      </x:c>
      <x:c r="L34" s="1" t="s">
        <x:v>19</x:v>
      </x:c>
      <x:c r="M34" s="1" t="s">
        <x:v>19</x:v>
      </x:c>
      <x:c r="N34" s="1" t="s">
        <x:v>19</x:v>
      </x:c>
      <x:c r="O34" s="1" t="s">
        <x:v>19</x:v>
      </x:c>
      <x:c r="P34" s="1" t="s">
        <x:v>19</x:v>
      </x:c>
    </x:row>
    <x:row r="35">
      <x:c r="A35" s="1" t="s">
        <x:v>260</x:v>
      </x:c>
      <x:c r="B35" s="1" t="s">
        <x:v>261</x:v>
      </x:c>
      <x:c r="C35" s="1" t="s">
        <x:v>262</x:v>
      </x:c>
      <x:c r="D35" s="1" t="s">
        <x:v>263</x:v>
      </x:c>
      <x:c r="E35" s="1" t="s">
        <x:v>264</x:v>
      </x:c>
      <x:c r="F35" s="1" t="s">
        <x:v>265</x:v>
      </x:c>
      <x:c r="G35" s="1" t="s">
        <x:v>217</x:v>
      </x:c>
      <x:c r="H35" s="1" t="s">
        <x:v>19</x:v>
      </x:c>
      <x:c r="I35" s="1" t="s">
        <x:v>175</x:v>
      </x:c>
      <x:c r="J35" s="1" t="s">
        <x:v>128</x:v>
      </x:c>
      <x:c r="K35" s="1" t="s">
        <x:v>146</x:v>
      </x:c>
      <x:c r="L35" s="1" t="s">
        <x:v>19</x:v>
      </x:c>
      <x:c r="M35" s="1" t="s">
        <x:v>19</x:v>
      </x:c>
      <x:c r="N35" s="1" t="s">
        <x:v>19</x:v>
      </x:c>
      <x:c r="O35" s="1" t="s">
        <x:v>19</x:v>
      </x:c>
      <x:c r="P35" s="1" t="s">
        <x:v>19</x:v>
      </x:c>
    </x:row>
    <x:row r="36">
      <x:c r="A36" s="1" t="s">
        <x:v>266</x:v>
      </x:c>
      <x:c r="B36" s="1" t="s">
        <x:v>267</x:v>
      </x:c>
      <x:c r="C36" s="1" t="s">
        <x:v>268</x:v>
      </x:c>
      <x:c r="D36" s="1" t="s">
        <x:v>269</x:v>
      </x:c>
      <x:c r="E36" s="1" t="s">
        <x:v>270</x:v>
      </x:c>
      <x:c r="F36" s="1" t="s">
        <x:v>271</x:v>
      </x:c>
      <x:c r="G36" s="1" t="s">
        <x:v>272</x:v>
      </x:c>
      <x:c r="H36" s="1" t="s">
        <x:v>19</x:v>
      </x:c>
      <x:c r="I36" s="1" t="s">
        <x:v>116</x:v>
      </x:c>
      <x:c r="J36" s="1" t="s">
        <x:v>273</x:v>
      </x:c>
      <x:c r="K36" s="1" t="s">
        <x:v>55</x:v>
      </x:c>
      <x:c r="L36" s="1" t="s">
        <x:v>19</x:v>
      </x:c>
      <x:c r="M36" s="1" t="s">
        <x:v>19</x:v>
      </x:c>
      <x:c r="N36" s="1" t="s">
        <x:v>19</x:v>
      </x:c>
      <x:c r="O36" s="1" t="s">
        <x:v>19</x:v>
      </x:c>
      <x:c r="P36" s="1" t="s">
        <x:v>19</x:v>
      </x:c>
    </x:row>
    <x:row r="37">
      <x:c r="A37" s="1" t="s">
        <x:v>274</x:v>
      </x:c>
      <x:c r="B37" s="1" t="s">
        <x:v>58</x:v>
      </x:c>
      <x:c r="C37" s="1" t="s">
        <x:v>275</x:v>
      </x:c>
      <x:c r="D37" s="1" t="s">
        <x:v>276</x:v>
      </x:c>
      <x:c r="E37" s="1" t="s">
        <x:v>188</x:v>
      </x:c>
      <x:c r="F37" s="1" t="s">
        <x:v>277</x:v>
      </x:c>
      <x:c r="G37" s="1" t="s">
        <x:v>125</x:v>
      </x:c>
      <x:c r="H37" s="1" t="s">
        <x:v>264</x:v>
      </x:c>
      <x:c r="I37" s="1" t="s">
        <x:v>278</x:v>
      </x:c>
      <x:c r="J37" s="1" t="s">
        <x:v>71</x:v>
      </x:c>
      <x:c r="K37" s="1" t="s">
        <x:v>273</x:v>
      </x:c>
      <x:c r="L37" s="1" t="s">
        <x:v>19</x:v>
      </x:c>
      <x:c r="M37" s="1" t="s">
        <x:v>19</x:v>
      </x:c>
      <x:c r="N37" s="1" t="s">
        <x:v>19</x:v>
      </x:c>
      <x:c r="O37" s="1" t="s">
        <x:v>19</x:v>
      </x:c>
      <x:c r="P37" s="1" t="s">
        <x:v>19</x:v>
      </x:c>
    </x:row>
    <x:row r="38">
      <x:c r="A38" s="1" t="s">
        <x:v>279</x:v>
      </x:c>
      <x:c r="B38" s="1" t="s">
        <x:v>280</x:v>
      </x:c>
      <x:c r="C38" s="1" t="s">
        <x:v>281</x:v>
      </x:c>
      <x:c r="D38" s="1" t="s">
        <x:v>282</x:v>
      </x:c>
      <x:c r="E38" s="1" t="s">
        <x:v>215</x:v>
      </x:c>
      <x:c r="F38" s="1" t="s">
        <x:v>283</x:v>
      </x:c>
      <x:c r="G38" s="1" t="s">
        <x:v>284</x:v>
      </x:c>
      <x:c r="H38" s="1" t="s">
        <x:v>19</x:v>
      </x:c>
      <x:c r="I38" s="1" t="s">
        <x:v>152</x:v>
      </x:c>
      <x:c r="J38" s="1" t="s">
        <x:v>222</x:v>
      </x:c>
      <x:c r="K38" s="1" t="s">
        <x:v>285</x:v>
      </x:c>
      <x:c r="L38" s="1" t="s">
        <x:v>19</x:v>
      </x:c>
      <x:c r="M38" s="1" t="s">
        <x:v>19</x:v>
      </x:c>
      <x:c r="N38" s="1" t="s">
        <x:v>19</x:v>
      </x:c>
      <x:c r="O38" s="1" t="s">
        <x:v>19</x:v>
      </x:c>
      <x:c r="P38" s="1" t="s">
        <x:v>19</x:v>
      </x:c>
    </x:row>
    <x:row r="39">
      <x:c r="A39" s="1" t="s">
        <x:v>286</x:v>
      </x:c>
      <x:c r="B39" s="1" t="s">
        <x:v>287</x:v>
      </x:c>
      <x:c r="C39" s="1" t="s">
        <x:v>288</x:v>
      </x:c>
      <x:c r="D39" s="1" t="s">
        <x:v>289</x:v>
      </x:c>
      <x:c r="E39" s="1" t="s">
        <x:v>251</x:v>
      </x:c>
      <x:c r="F39" s="1" t="s">
        <x:v>290</x:v>
      </x:c>
      <x:c r="G39" s="1" t="s">
        <x:v>291</x:v>
      </x:c>
      <x:c r="H39" s="1" t="s">
        <x:v>19</x:v>
      </x:c>
      <x:c r="I39" s="1" t="s">
        <x:v>144</x:v>
      </x:c>
      <x:c r="J39" s="1" t="s">
        <x:v>273</x:v>
      </x:c>
      <x:c r="K39" s="1" t="s">
        <x:v>292</x:v>
      </x:c>
      <x:c r="L39" s="1" t="s">
        <x:v>19</x:v>
      </x:c>
      <x:c r="M39" s="1" t="s">
        <x:v>19</x:v>
      </x:c>
      <x:c r="N39" s="1" t="s">
        <x:v>19</x:v>
      </x:c>
      <x:c r="O39" s="1" t="s">
        <x:v>19</x:v>
      </x:c>
      <x:c r="P39" s="1" t="s">
        <x:v>19</x:v>
      </x:c>
    </x:row>
    <x:row r="40">
      <x:c r="A40" s="1" t="s">
        <x:v>293</x:v>
      </x:c>
      <x:c r="B40" s="1" t="s">
        <x:v>294</x:v>
      </x:c>
      <x:c r="C40" s="1" t="s">
        <x:v>295</x:v>
      </x:c>
      <x:c r="D40" s="1" t="s">
        <x:v>296</x:v>
      </x:c>
      <x:c r="E40" s="1" t="s">
        <x:v>297</x:v>
      </x:c>
      <x:c r="F40" s="1" t="s">
        <x:v>298</x:v>
      </x:c>
      <x:c r="G40" s="1" t="s">
        <x:v>299</x:v>
      </x:c>
      <x:c r="H40" s="1" t="s">
        <x:v>19</x:v>
      </x:c>
      <x:c r="I40" s="1" t="s">
        <x:v>126</x:v>
      </x:c>
      <x:c r="J40" s="1" t="s">
        <x:v>300</x:v>
      </x:c>
      <x:c r="K40" s="1" t="s">
        <x:v>301</x:v>
      </x:c>
      <x:c r="L40" s="1" t="s">
        <x:v>19</x:v>
      </x:c>
      <x:c r="M40" s="1" t="s">
        <x:v>19</x:v>
      </x:c>
      <x:c r="N40" s="1" t="s">
        <x:v>19</x:v>
      </x:c>
      <x:c r="O40" s="1" t="s">
        <x:v>19</x:v>
      </x:c>
      <x:c r="P40" s="1" t="s">
        <x:v>19</x:v>
      </x:c>
    </x:row>
    <x:row r="41">
      <x:c r="A41" s="1" t="s">
        <x:v>302</x:v>
      </x:c>
      <x:c r="B41" s="1" t="s">
        <x:v>303</x:v>
      </x:c>
      <x:c r="C41" s="1" t="s">
        <x:v>304</x:v>
      </x:c>
      <x:c r="D41" s="1" t="s">
        <x:v>305</x:v>
      </x:c>
      <x:c r="E41" s="1" t="s">
        <x:v>306</x:v>
      </x:c>
      <x:c r="F41" s="1" t="s">
        <x:v>307</x:v>
      </x:c>
      <x:c r="G41" s="1" t="s">
        <x:v>299</x:v>
      </x:c>
      <x:c r="H41" s="1" t="s">
        <x:v>19</x:v>
      </x:c>
      <x:c r="I41" s="1" t="s">
        <x:v>308</x:v>
      </x:c>
      <x:c r="J41" s="1" t="s">
        <x:v>309</x:v>
      </x:c>
      <x:c r="K41" s="1" t="s">
        <x:v>310</x:v>
      </x:c>
      <x:c r="L41" s="1" t="s">
        <x:v>311</x:v>
      </x:c>
      <x:c r="M41" s="1" t="s">
        <x:v>19</x:v>
      </x:c>
      <x:c r="N41" s="1" t="s">
        <x:v>19</x:v>
      </x:c>
      <x:c r="O41" s="1" t="s">
        <x:v>19</x:v>
      </x:c>
      <x:c r="P41" s="1" t="s">
        <x:v>19</x:v>
      </x:c>
    </x:row>
    <x:row r="42">
      <x:c r="A42" s="1" t="s">
        <x:v>312</x:v>
      </x:c>
      <x:c r="B42" s="1" t="s">
        <x:v>313</x:v>
      </x:c>
      <x:c r="C42" s="1" t="s">
        <x:v>314</x:v>
      </x:c>
      <x:c r="D42" s="1" t="s">
        <x:v>315</x:v>
      </x:c>
      <x:c r="E42" s="1" t="s">
        <x:v>316</x:v>
      </x:c>
      <x:c r="F42" s="1" t="s">
        <x:v>317</x:v>
      </x:c>
      <x:c r="G42" s="1" t="s">
        <x:v>318</x:v>
      </x:c>
      <x:c r="H42" s="1" t="s">
        <x:v>19</x:v>
      </x:c>
      <x:c r="I42" s="1" t="s">
        <x:v>319</x:v>
      </x:c>
      <x:c r="J42" s="1" t="s">
        <x:v>320</x:v>
      </x:c>
      <x:c r="K42" s="1" t="s">
        <x:v>321</x:v>
      </x:c>
      <x:c r="L42" s="1" t="s">
        <x:v>322</x:v>
      </x:c>
      <x:c r="M42" s="1" t="s">
        <x:v>19</x:v>
      </x:c>
      <x:c r="N42" s="1" t="s">
        <x:v>19</x:v>
      </x:c>
      <x:c r="O42" s="1" t="s">
        <x:v>19</x:v>
      </x:c>
      <x:c r="P42" s="1" t="s">
        <x:v>19</x:v>
      </x:c>
    </x:row>
    <x:row r="43">
      <x:c r="A43" s="1" t="s">
        <x:v>323</x:v>
      </x:c>
      <x:c r="B43" s="1" t="s">
        <x:v>324</x:v>
      </x:c>
      <x:c r="C43" s="1" t="s">
        <x:v>325</x:v>
      </x:c>
      <x:c r="D43" s="1" t="s">
        <x:v>326</x:v>
      </x:c>
      <x:c r="E43" s="1" t="s">
        <x:v>327</x:v>
      </x:c>
      <x:c r="F43" s="1" t="s">
        <x:v>328</x:v>
      </x:c>
      <x:c r="G43" s="1" t="s">
        <x:v>329</x:v>
      </x:c>
      <x:c r="H43" s="1" t="s">
        <x:v>19</x:v>
      </x:c>
      <x:c r="I43" s="1" t="s">
        <x:v>330</x:v>
      </x:c>
      <x:c r="J43" s="1" t="s">
        <x:v>331</x:v>
      </x:c>
      <x:c r="K43" s="1" t="s">
        <x:v>69</x:v>
      </x:c>
      <x:c r="L43" s="1" t="s">
        <x:v>332</x:v>
      </x:c>
      <x:c r="M43" s="1" t="s">
        <x:v>19</x:v>
      </x:c>
      <x:c r="N43" s="1" t="s">
        <x:v>19</x:v>
      </x:c>
      <x:c r="O43" s="1" t="s">
        <x:v>19</x:v>
      </x:c>
      <x:c r="P43" s="1" t="s">
        <x:v>19</x:v>
      </x:c>
    </x:row>
    <x:row r="44">
      <x:c r="A44" s="1" t="s">
        <x:v>333</x:v>
      </x:c>
      <x:c r="B44" s="1" t="s">
        <x:v>334</x:v>
      </x:c>
      <x:c r="C44" s="1" t="s">
        <x:v>335</x:v>
      </x:c>
      <x:c r="D44" s="1" t="s">
        <x:v>336</x:v>
      </x:c>
      <x:c r="E44" s="1" t="s">
        <x:v>337</x:v>
      </x:c>
      <x:c r="F44" s="1" t="s">
        <x:v>150</x:v>
      </x:c>
      <x:c r="G44" s="1" t="s">
        <x:v>19</x:v>
      </x:c>
      <x:c r="H44" s="1" t="s">
        <x:v>19</x:v>
      </x:c>
      <x:c r="I44" s="1" t="s">
        <x:v>330</x:v>
      </x:c>
      <x:c r="J44" s="1" t="s">
        <x:v>338</x:v>
      </x:c>
      <x:c r="K44" s="1" t="s">
        <x:v>19</x:v>
      </x:c>
      <x:c r="L44" s="1" t="s">
        <x:v>19</x:v>
      </x:c>
      <x:c r="M44" s="1" t="s">
        <x:v>339</x:v>
      </x:c>
      <x:c r="N44" s="1" t="s">
        <x:v>19</x:v>
      </x:c>
      <x:c r="O44" s="1" t="s">
        <x:v>19</x:v>
      </x:c>
      <x:c r="P44" s="1" t="s">
        <x:v>19</x:v>
      </x:c>
    </x:row>
    <x:row r="45">
      <x:c r="A45" s="1" t="s">
        <x:v>340</x:v>
      </x:c>
      <x:c r="B45" s="1" t="s">
        <x:v>341</x:v>
      </x:c>
      <x:c r="C45" s="1" t="s">
        <x:v>342</x:v>
      </x:c>
      <x:c r="D45" s="1" t="s">
        <x:v>343</x:v>
      </x:c>
      <x:c r="E45" s="1" t="s">
        <x:v>344</x:v>
      </x:c>
      <x:c r="F45" s="1" t="s">
        <x:v>345</x:v>
      </x:c>
      <x:c r="G45" s="1" t="s">
        <x:v>19</x:v>
      </x:c>
      <x:c r="H45" s="1" t="s">
        <x:v>19</x:v>
      </x:c>
      <x:c r="I45" s="1" t="s">
        <x:v>346</x:v>
      </x:c>
      <x:c r="J45" s="1" t="s">
        <x:v>77</x:v>
      </x:c>
      <x:c r="K45" s="1" t="s">
        <x:v>19</x:v>
      </x:c>
      <x:c r="L45" s="1" t="s">
        <x:v>347</x:v>
      </x:c>
      <x:c r="M45" s="1" t="s">
        <x:v>348</x:v>
      </x:c>
      <x:c r="N45" s="1" t="s">
        <x:v>19</x:v>
      </x:c>
      <x:c r="O45" s="1" t="s">
        <x:v>19</x:v>
      </x:c>
      <x:c r="P45" s="1" t="s">
        <x:v>19</x:v>
      </x:c>
    </x:row>
    <x:row r="46">
      <x:c r="A46" s="1" t="s">
        <x:v>349</x:v>
      </x:c>
      <x:c r="B46" s="1" t="s">
        <x:v>350</x:v>
      </x:c>
      <x:c r="C46" s="1" t="s">
        <x:v>351</x:v>
      </x:c>
      <x:c r="D46" s="1" t="s">
        <x:v>352</x:v>
      </x:c>
      <x:c r="E46" s="1" t="s">
        <x:v>353</x:v>
      </x:c>
      <x:c r="F46" s="1" t="s">
        <x:v>354</x:v>
      </x:c>
      <x:c r="G46" s="1" t="s">
        <x:v>19</x:v>
      </x:c>
      <x:c r="H46" s="1" t="s">
        <x:v>19</x:v>
      </x:c>
      <x:c r="I46" s="1" t="s">
        <x:v>355</x:v>
      </x:c>
      <x:c r="J46" s="1" t="s">
        <x:v>19</x:v>
      </x:c>
      <x:c r="K46" s="1" t="s">
        <x:v>19</x:v>
      </x:c>
      <x:c r="L46" s="1" t="s">
        <x:v>356</x:v>
      </x:c>
      <x:c r="M46" s="1" t="s">
        <x:v>357</x:v>
      </x:c>
      <x:c r="N46" s="1" t="s">
        <x:v>19</x:v>
      </x:c>
      <x:c r="O46" s="1" t="s">
        <x:v>19</x:v>
      </x:c>
      <x:c r="P46" s="1" t="s">
        <x:v>19</x:v>
      </x:c>
    </x:row>
    <x:row r="47">
      <x:c r="A47" s="1" t="s">
        <x:v>358</x:v>
      </x:c>
      <x:c r="B47" s="1" t="s">
        <x:v>359</x:v>
      </x:c>
      <x:c r="C47" s="1" t="s">
        <x:v>360</x:v>
      </x:c>
      <x:c r="D47" s="1" t="s">
        <x:v>361</x:v>
      </x:c>
      <x:c r="E47" s="1" t="s">
        <x:v>362</x:v>
      </x:c>
      <x:c r="F47" s="1" t="s">
        <x:v>363</x:v>
      </x:c>
      <x:c r="G47" s="1" t="s">
        <x:v>19</x:v>
      </x:c>
      <x:c r="H47" s="1" t="s">
        <x:v>19</x:v>
      </x:c>
      <x:c r="I47" s="1" t="s">
        <x:v>364</x:v>
      </x:c>
      <x:c r="J47" s="1" t="s">
        <x:v>19</x:v>
      </x:c>
      <x:c r="K47" s="1" t="s">
        <x:v>19</x:v>
      </x:c>
      <x:c r="L47" s="1" t="s">
        <x:v>318</x:v>
      </x:c>
      <x:c r="M47" s="1" t="s">
        <x:v>365</x:v>
      </x:c>
      <x:c r="N47" s="1" t="s">
        <x:v>19</x:v>
      </x:c>
      <x:c r="O47" s="1" t="s">
        <x:v>19</x:v>
      </x:c>
      <x:c r="P47" s="1" t="s">
        <x:v>19</x:v>
      </x:c>
    </x:row>
    <x:row r="48">
      <x:c r="A48" s="1" t="s">
        <x:v>366</x:v>
      </x:c>
      <x:c r="B48" s="1" t="s">
        <x:v>367</x:v>
      </x:c>
      <x:c r="C48" s="1" t="s">
        <x:v>368</x:v>
      </x:c>
      <x:c r="D48" s="1" t="s">
        <x:v>369</x:v>
      </x:c>
      <x:c r="E48" s="1" t="s">
        <x:v>370</x:v>
      </x:c>
      <x:c r="F48" s="1" t="s">
        <x:v>363</x:v>
      </x:c>
      <x:c r="G48" s="1" t="s">
        <x:v>19</x:v>
      </x:c>
      <x:c r="H48" s="1" t="s">
        <x:v>19</x:v>
      </x:c>
      <x:c r="I48" s="1" t="s">
        <x:v>319</x:v>
      </x:c>
      <x:c r="J48" s="1" t="s">
        <x:v>19</x:v>
      </x:c>
      <x:c r="K48" s="1" t="s">
        <x:v>19</x:v>
      </x:c>
      <x:c r="L48" s="1" t="s">
        <x:v>371</x:v>
      </x:c>
      <x:c r="M48" s="1" t="s">
        <x:v>372</x:v>
      </x:c>
      <x:c r="N48" s="1" t="s">
        <x:v>19</x:v>
      </x:c>
      <x:c r="O48" s="1" t="s">
        <x:v>19</x:v>
      </x:c>
      <x:c r="P48" s="1" t="s">
        <x:v>19</x:v>
      </x:c>
    </x:row>
    <x:row r="49">
      <x:c r="A49" s="1" t="s">
        <x:v>373</x:v>
      </x:c>
      <x:c r="B49" s="1" t="s">
        <x:v>374</x:v>
      </x:c>
      <x:c r="C49" s="1" t="s">
        <x:v>375</x:v>
      </x:c>
      <x:c r="D49" s="1" t="s">
        <x:v>376</x:v>
      </x:c>
      <x:c r="E49" s="1" t="s">
        <x:v>377</x:v>
      </x:c>
      <x:c r="F49" s="1" t="s">
        <x:v>378</x:v>
      </x:c>
      <x:c r="G49" s="1" t="s">
        <x:v>379</x:v>
      </x:c>
      <x:c r="H49" s="1" t="s">
        <x:v>19</x:v>
      </x:c>
      <x:c r="I49" s="1" t="s">
        <x:v>135</x:v>
      </x:c>
      <x:c r="J49" s="1" t="s">
        <x:v>19</x:v>
      </x:c>
      <x:c r="K49" s="1" t="s">
        <x:v>19</x:v>
      </x:c>
      <x:c r="L49" s="1" t="s">
        <x:v>370</x:v>
      </x:c>
      <x:c r="M49" s="1" t="s">
        <x:v>380</x:v>
      </x:c>
      <x:c r="N49" s="1" t="s">
        <x:v>19</x:v>
      </x:c>
      <x:c r="O49" s="1" t="s">
        <x:v>19</x:v>
      </x:c>
      <x:c r="P49" s="1" t="s">
        <x:v>19</x:v>
      </x:c>
    </x:row>
    <x:row r="50">
      <x:c r="A50" s="1" t="s">
        <x:v>381</x:v>
      </x:c>
      <x:c r="B50" s="1" t="s">
        <x:v>382</x:v>
      </x:c>
      <x:c r="C50" s="1" t="s">
        <x:v>383</x:v>
      </x:c>
      <x:c r="D50" s="1" t="s">
        <x:v>384</x:v>
      </x:c>
      <x:c r="E50" s="1" t="s">
        <x:v>385</x:v>
      </x:c>
      <x:c r="F50" s="1" t="s">
        <x:v>386</x:v>
      </x:c>
      <x:c r="G50" s="1" t="s">
        <x:v>318</x:v>
      </x:c>
      <x:c r="H50" s="1" t="s">
        <x:v>19</x:v>
      </x:c>
      <x:c r="I50" s="1" t="s">
        <x:v>319</x:v>
      </x:c>
      <x:c r="J50" s="1" t="s">
        <x:v>19</x:v>
      </x:c>
      <x:c r="K50" s="1" t="s">
        <x:v>19</x:v>
      </x:c>
      <x:c r="L50" s="1" t="s">
        <x:v>387</x:v>
      </x:c>
      <x:c r="M50" s="1" t="s">
        <x:v>377</x:v>
      </x:c>
      <x:c r="N50" s="1" t="s">
        <x:v>19</x:v>
      </x:c>
      <x:c r="O50" s="1" t="s">
        <x:v>19</x:v>
      </x:c>
      <x:c r="P50" s="1" t="s">
        <x:v>19</x:v>
      </x:c>
    </x:row>
    <x:row r="51">
      <x:c r="A51" s="1" t="s">
        <x:v>388</x:v>
      </x:c>
      <x:c r="B51" s="1" t="s">
        <x:v>389</x:v>
      </x:c>
      <x:c r="C51" s="1" t="s">
        <x:v>390</x:v>
      </x:c>
      <x:c r="D51" s="1" t="s">
        <x:v>391</x:v>
      </x:c>
      <x:c r="E51" s="1" t="s">
        <x:v>322</x:v>
      </x:c>
      <x:c r="F51" s="1" t="s">
        <x:v>392</x:v>
      </x:c>
      <x:c r="G51" s="1" t="s">
        <x:v>337</x:v>
      </x:c>
      <x:c r="H51" s="1" t="s">
        <x:v>19</x:v>
      </x:c>
      <x:c r="I51" s="1" t="s">
        <x:v>319</x:v>
      </x:c>
      <x:c r="J51" s="1" t="s">
        <x:v>19</x:v>
      </x:c>
      <x:c r="K51" s="1" t="s">
        <x:v>19</x:v>
      </x:c>
      <x:c r="L51" s="1" t="s">
        <x:v>393</x:v>
      </x:c>
      <x:c r="M51" s="1" t="s">
        <x:v>370</x:v>
      </x:c>
      <x:c r="N51" s="1" t="s">
        <x:v>19</x:v>
      </x:c>
      <x:c r="O51" s="1" t="s">
        <x:v>19</x:v>
      </x:c>
      <x:c r="P51" s="1" t="s">
        <x:v>19</x:v>
      </x:c>
    </x:row>
    <x:row r="52">
      <x:c r="A52" s="1" t="s">
        <x:v>394</x:v>
      </x:c>
      <x:c r="B52" s="1" t="s">
        <x:v>395</x:v>
      </x:c>
      <x:c r="C52" s="1" t="s">
        <x:v>396</x:v>
      </x:c>
      <x:c r="D52" s="1" t="s">
        <x:v>397</x:v>
      </x:c>
      <x:c r="E52" s="1" t="s">
        <x:v>398</x:v>
      </x:c>
      <x:c r="F52" s="1" t="s">
        <x:v>399</x:v>
      </x:c>
      <x:c r="G52" s="1" t="s">
        <x:v>400</x:v>
      </x:c>
      <x:c r="H52" s="1" t="s">
        <x:v>19</x:v>
      </x:c>
      <x:c r="I52" s="1" t="s">
        <x:v>401</x:v>
      </x:c>
      <x:c r="J52" s="1" t="s">
        <x:v>19</x:v>
      </x:c>
      <x:c r="K52" s="1" t="s">
        <x:v>19</x:v>
      </x:c>
      <x:c r="L52" s="1" t="s">
        <x:v>402</x:v>
      </x:c>
      <x:c r="M52" s="1" t="s">
        <x:v>19</x:v>
      </x:c>
      <x:c r="N52" s="1" t="s">
        <x:v>19</x:v>
      </x:c>
      <x:c r="O52" s="1" t="s">
        <x:v>19</x:v>
      </x:c>
      <x:c r="P52" s="1" t="s">
        <x:v>19</x:v>
      </x:c>
    </x:row>
    <x:row r="53">
      <x:c r="A53" s="1" t="s">
        <x:v>403</x:v>
      </x:c>
      <x:c r="B53" s="1" t="s">
        <x:v>404</x:v>
      </x:c>
      <x:c r="C53" s="1" t="s">
        <x:v>405</x:v>
      </x:c>
      <x:c r="D53" s="1" t="s">
        <x:v>406</x:v>
      </x:c>
      <x:c r="E53" s="1" t="s">
        <x:v>407</x:v>
      </x:c>
      <x:c r="F53" s="1" t="s">
        <x:v>408</x:v>
      </x:c>
      <x:c r="G53" s="1" t="s">
        <x:v>409</x:v>
      </x:c>
      <x:c r="H53" s="1" t="s">
        <x:v>19</x:v>
      </x:c>
      <x:c r="I53" s="1" t="s">
        <x:v>410</x:v>
      </x:c>
      <x:c r="J53" s="1" t="s">
        <x:v>19</x:v>
      </x:c>
      <x:c r="K53" s="1" t="s">
        <x:v>19</x:v>
      </x:c>
      <x:c r="L53" s="1" t="s">
        <x:v>411</x:v>
      </x:c>
      <x:c r="M53" s="1" t="s">
        <x:v>19</x:v>
      </x:c>
      <x:c r="N53" s="1" t="s">
        <x:v>19</x:v>
      </x:c>
      <x:c r="O53" s="1" t="s">
        <x:v>19</x:v>
      </x:c>
      <x:c r="P53" s="1" t="s">
        <x:v>19</x:v>
      </x:c>
    </x:row>
    <x:row r="54">
      <x:c r="A54" s="1" t="s">
        <x:v>412</x:v>
      </x:c>
      <x:c r="B54" s="1" t="s">
        <x:v>413</x:v>
      </x:c>
      <x:c r="C54" s="1" t="s">
        <x:v>414</x:v>
      </x:c>
      <x:c r="D54" s="1" t="s">
        <x:v>415</x:v>
      </x:c>
      <x:c r="E54" s="1" t="s">
        <x:v>416</x:v>
      </x:c>
      <x:c r="F54" s="1" t="s">
        <x:v>417</x:v>
      </x:c>
      <x:c r="G54" s="1" t="s">
        <x:v>347</x:v>
      </x:c>
      <x:c r="H54" s="1" t="s">
        <x:v>19</x:v>
      </x:c>
      <x:c r="I54" s="1" t="s">
        <x:v>319</x:v>
      </x:c>
      <x:c r="J54" s="1" t="s">
        <x:v>19</x:v>
      </x:c>
      <x:c r="K54" s="1" t="s">
        <x:v>19</x:v>
      </x:c>
      <x:c r="L54" s="1" t="s">
        <x:v>418</x:v>
      </x:c>
      <x:c r="M54" s="1" t="s">
        <x:v>19</x:v>
      </x:c>
      <x:c r="N54" s="1" t="s">
        <x:v>19</x:v>
      </x:c>
      <x:c r="O54" s="1" t="s">
        <x:v>19</x:v>
      </x:c>
      <x:c r="P54" s="1" t="s">
        <x:v>19</x:v>
      </x:c>
    </x:row>
    <x:row r="55">
      <x:c r="A55" s="1" t="s">
        <x:v>419</x:v>
      </x:c>
      <x:c r="B55" s="1" t="s">
        <x:v>420</x:v>
      </x:c>
      <x:c r="C55" s="1" t="s">
        <x:v>220</x:v>
      </x:c>
      <x:c r="D55" s="1" t="s">
        <x:v>421</x:v>
      </x:c>
      <x:c r="E55" s="1" t="s">
        <x:v>422</x:v>
      </x:c>
      <x:c r="F55" s="1" t="s">
        <x:v>423</x:v>
      </x:c>
      <x:c r="G55" s="1" t="s">
        <x:v>424</x:v>
      </x:c>
      <x:c r="H55" s="1" t="s">
        <x:v>19</x:v>
      </x:c>
      <x:c r="I55" s="1" t="s">
        <x:v>364</x:v>
      </x:c>
      <x:c r="J55" s="1" t="s">
        <x:v>19</x:v>
      </x:c>
      <x:c r="K55" s="1" t="s">
        <x:v>19</x:v>
      </x:c>
      <x:c r="L55" s="1" t="s">
        <x:v>425</x:v>
      </x:c>
      <x:c r="M55" s="1" t="s">
        <x:v>19</x:v>
      </x:c>
      <x:c r="N55" s="1" t="s">
        <x:v>19</x:v>
      </x:c>
      <x:c r="O55" s="1" t="s">
        <x:v>19</x:v>
      </x:c>
      <x:c r="P55" s="1" t="s">
        <x:v>19</x:v>
      </x:c>
    </x:row>
    <x:row r="56">
      <x:c r="A56" s="1" t="s">
        <x:v>426</x:v>
      </x:c>
      <x:c r="B56" s="1" t="s">
        <x:v>427</x:v>
      </x:c>
      <x:c r="C56" s="1" t="s">
        <x:v>428</x:v>
      </x:c>
      <x:c r="D56" s="1" t="s">
        <x:v>429</x:v>
      </x:c>
      <x:c r="E56" s="1" t="s">
        <x:v>430</x:v>
      </x:c>
      <x:c r="F56" s="1" t="s">
        <x:v>431</x:v>
      </x:c>
      <x:c r="G56" s="1" t="s">
        <x:v>379</x:v>
      </x:c>
      <x:c r="H56" s="1" t="s">
        <x:v>19</x:v>
      </x:c>
      <x:c r="I56" s="1" t="s">
        <x:v>355</x:v>
      </x:c>
      <x:c r="J56" s="1" t="s">
        <x:v>19</x:v>
      </x:c>
      <x:c r="K56" s="1" t="s">
        <x:v>19</x:v>
      </x:c>
      <x:c r="L56" s="1" t="s">
        <x:v>432</x:v>
      </x:c>
      <x:c r="M56" s="1" t="s">
        <x:v>19</x:v>
      </x:c>
      <x:c r="N56" s="1" t="s">
        <x:v>19</x:v>
      </x:c>
      <x:c r="O56" s="1" t="s">
        <x:v>19</x:v>
      </x:c>
      <x:c r="P56" s="1" t="s">
        <x:v>19</x:v>
      </x:c>
    </x:row>
    <x:row r="57">
      <x:c r="A57" s="1" t="s">
        <x:v>433</x:v>
      </x:c>
      <x:c r="B57" s="1" t="s">
        <x:v>375</x:v>
      </x:c>
      <x:c r="C57" s="1" t="s">
        <x:v>434</x:v>
      </x:c>
      <x:c r="D57" s="1" t="s">
        <x:v>435</x:v>
      </x:c>
      <x:c r="E57" s="1" t="s">
        <x:v>436</x:v>
      </x:c>
      <x:c r="F57" s="1" t="s">
        <x:v>437</x:v>
      </x:c>
      <x:c r="G57" s="1" t="s">
        <x:v>438</x:v>
      </x:c>
      <x:c r="H57" s="1" t="s">
        <x:v>19</x:v>
      </x:c>
      <x:c r="I57" s="1" t="s">
        <x:v>330</x:v>
      </x:c>
      <x:c r="J57" s="1" t="s">
        <x:v>19</x:v>
      </x:c>
      <x:c r="K57" s="1" t="s">
        <x:v>19</x:v>
      </x:c>
      <x:c r="L57" s="1" t="s">
        <x:v>439</x:v>
      </x:c>
      <x:c r="M57" s="1" t="s">
        <x:v>440</x:v>
      </x:c>
      <x:c r="N57" s="1" t="s">
        <x:v>19</x:v>
      </x:c>
      <x:c r="O57" s="1" t="s">
        <x:v>19</x:v>
      </x:c>
      <x:c r="P57" s="1" t="s">
        <x:v>19</x:v>
      </x:c>
    </x:row>
    <x:row r="58">
      <x:c r="A58" s="1" t="s">
        <x:v>441</x:v>
      </x:c>
      <x:c r="B58" s="1" t="s">
        <x:v>442</x:v>
      </x:c>
      <x:c r="C58" s="1" t="s">
        <x:v>443</x:v>
      </x:c>
      <x:c r="D58" s="1" t="s">
        <x:v>444</x:v>
      </x:c>
      <x:c r="E58" s="1" t="s">
        <x:v>445</x:v>
      </x:c>
      <x:c r="F58" s="1" t="s">
        <x:v>446</x:v>
      </x:c>
      <x:c r="G58" s="1" t="s">
        <x:v>370</x:v>
      </x:c>
      <x:c r="H58" s="1" t="s">
        <x:v>19</x:v>
      </x:c>
      <x:c r="I58" s="1" t="s">
        <x:v>447</x:v>
      </x:c>
      <x:c r="J58" s="1" t="s">
        <x:v>19</x:v>
      </x:c>
      <x:c r="K58" s="1" t="s">
        <x:v>19</x:v>
      </x:c>
      <x:c r="L58" s="1" t="s">
        <x:v>448</x:v>
      </x:c>
      <x:c r="M58" s="1" t="s">
        <x:v>19</x:v>
      </x:c>
      <x:c r="N58" s="1" t="s">
        <x:v>19</x:v>
      </x:c>
      <x:c r="O58" s="1" t="s">
        <x:v>19</x:v>
      </x:c>
      <x:c r="P58" s="1" t="s">
        <x:v>19</x:v>
      </x:c>
    </x:row>
    <x:row r="59">
      <x:c r="A59" s="1" t="s">
        <x:v>449</x:v>
      </x:c>
      <x:c r="B59" s="1" t="s">
        <x:v>450</x:v>
      </x:c>
      <x:c r="C59" s="1" t="s">
        <x:v>451</x:v>
      </x:c>
      <x:c r="D59" s="1" t="s">
        <x:v>452</x:v>
      </x:c>
      <x:c r="E59" s="1" t="s">
        <x:v>453</x:v>
      </x:c>
      <x:c r="F59" s="1" t="s">
        <x:v>454</x:v>
      </x:c>
      <x:c r="G59" s="1" t="s">
        <x:v>357</x:v>
      </x:c>
      <x:c r="H59" s="1" t="s">
        <x:v>19</x:v>
      </x:c>
      <x:c r="I59" s="1" t="s">
        <x:v>19</x:v>
      </x:c>
      <x:c r="J59" s="1" t="s">
        <x:v>19</x:v>
      </x:c>
      <x:c r="K59" s="1" t="s">
        <x:v>455</x:v>
      </x:c>
      <x:c r="L59" s="1" t="s">
        <x:v>456</x:v>
      </x:c>
      <x:c r="M59" s="1" t="s">
        <x:v>19</x:v>
      </x:c>
      <x:c r="N59" s="1" t="s">
        <x:v>19</x:v>
      </x:c>
      <x:c r="O59" s="1" t="s">
        <x:v>19</x:v>
      </x:c>
      <x:c r="P59" s="1" t="s">
        <x:v>19</x:v>
      </x:c>
    </x:row>
    <x:row r="60">
      <x:c r="A60" s="1" t="s">
        <x:v>457</x:v>
      </x:c>
      <x:c r="B60" s="1" t="s">
        <x:v>458</x:v>
      </x:c>
      <x:c r="C60" s="1" t="s">
        <x:v>459</x:v>
      </x:c>
      <x:c r="D60" s="1" t="s">
        <x:v>320</x:v>
      </x:c>
      <x:c r="E60" s="1" t="s">
        <x:v>460</x:v>
      </x:c>
      <x:c r="F60" s="1" t="s">
        <x:v>461</x:v>
      </x:c>
      <x:c r="G60" s="1" t="s">
        <x:v>348</x:v>
      </x:c>
      <x:c r="H60" s="1" t="s">
        <x:v>19</x:v>
      </x:c>
      <x:c r="I60" s="1" t="s">
        <x:v>19</x:v>
      </x:c>
      <x:c r="J60" s="1" t="s">
        <x:v>19</x:v>
      </x:c>
      <x:c r="K60" s="1" t="s">
        <x:v>462</x:v>
      </x:c>
      <x:c r="L60" s="1" t="s">
        <x:v>463</x:v>
      </x:c>
      <x:c r="M60" s="1" t="s">
        <x:v>19</x:v>
      </x:c>
      <x:c r="N60" s="1" t="s">
        <x:v>19</x:v>
      </x:c>
      <x:c r="O60" s="1" t="s">
        <x:v>19</x:v>
      </x:c>
      <x:c r="P60" s="1" t="s">
        <x:v>19</x:v>
      </x:c>
    </x:row>
    <x:row r="61">
      <x:c r="A61" s="1" t="s">
        <x:v>464</x:v>
      </x:c>
      <x:c r="B61" s="1" t="s">
        <x:v>465</x:v>
      </x:c>
      <x:c r="C61" s="1" t="s">
        <x:v>466</x:v>
      </x:c>
      <x:c r="D61" s="1" t="s">
        <x:v>467</x:v>
      </x:c>
      <x:c r="E61" s="1" t="s">
        <x:v>468</x:v>
      </x:c>
      <x:c r="F61" s="1" t="s">
        <x:v>469</x:v>
      </x:c>
      <x:c r="G61" s="1" t="s">
        <x:v>365</x:v>
      </x:c>
      <x:c r="H61" s="1" t="s">
        <x:v>19</x:v>
      </x:c>
      <x:c r="I61" s="1" t="s">
        <x:v>19</x:v>
      </x:c>
      <x:c r="J61" s="1" t="s">
        <x:v>19</x:v>
      </x:c>
      <x:c r="K61" s="1" t="s">
        <x:v>470</x:v>
      </x:c>
      <x:c r="L61" s="1" t="s">
        <x:v>471</x:v>
      </x:c>
      <x:c r="M61" s="1" t="s">
        <x:v>472</x:v>
      </x:c>
      <x:c r="N61" s="1" t="s">
        <x:v>19</x:v>
      </x:c>
      <x:c r="O61" s="1" t="s">
        <x:v>19</x:v>
      </x:c>
      <x:c r="P61" s="1" t="s">
        <x:v>19</x:v>
      </x:c>
    </x:row>
    <x:row r="62">
      <x:c r="A62" s="1" t="s">
        <x:v>473</x:v>
      </x:c>
      <x:c r="B62" s="1" t="s">
        <x:v>474</x:v>
      </x:c>
      <x:c r="C62" s="1" t="s">
        <x:v>414</x:v>
      </x:c>
      <x:c r="D62" s="1" t="s">
        <x:v>475</x:v>
      </x:c>
      <x:c r="E62" s="1" t="s">
        <x:v>468</x:v>
      </x:c>
      <x:c r="F62" s="1" t="s">
        <x:v>408</x:v>
      </x:c>
      <x:c r="G62" s="1" t="s">
        <x:v>372</x:v>
      </x:c>
      <x:c r="H62" s="1" t="s">
        <x:v>19</x:v>
      </x:c>
      <x:c r="I62" s="1" t="s">
        <x:v>19</x:v>
      </x:c>
      <x:c r="J62" s="1" t="s">
        <x:v>19</x:v>
      </x:c>
      <x:c r="K62" s="1" t="s">
        <x:v>476</x:v>
      </x:c>
      <x:c r="L62" s="1" t="s">
        <x:v>477</x:v>
      </x:c>
      <x:c r="M62" s="1" t="s">
        <x:v>478</x:v>
      </x:c>
      <x:c r="N62" s="1" t="s">
        <x:v>19</x:v>
      </x:c>
      <x:c r="O62" s="1" t="s">
        <x:v>19</x:v>
      </x:c>
      <x:c r="P62" s="1" t="s">
        <x:v>19</x:v>
      </x:c>
    </x:row>
    <x:row r="63">
      <x:c r="A63" s="1" t="s">
        <x:v>479</x:v>
      </x:c>
      <x:c r="B63" s="1" t="s">
        <x:v>480</x:v>
      </x:c>
      <x:c r="C63" s="1" t="s">
        <x:v>481</x:v>
      </x:c>
      <x:c r="D63" s="1" t="s">
        <x:v>475</x:v>
      </x:c>
      <x:c r="E63" s="1" t="s">
        <x:v>482</x:v>
      </x:c>
      <x:c r="F63" s="1" t="s">
        <x:v>483</x:v>
      </x:c>
      <x:c r="G63" s="1" t="s">
        <x:v>484</x:v>
      </x:c>
      <x:c r="H63" s="1" t="s">
        <x:v>19</x:v>
      </x:c>
      <x:c r="I63" s="1" t="s">
        <x:v>19</x:v>
      </x:c>
      <x:c r="J63" s="1" t="s">
        <x:v>19</x:v>
      </x:c>
      <x:c r="K63" s="1" t="s">
        <x:v>485</x:v>
      </x:c>
      <x:c r="L63" s="1" t="s">
        <x:v>486</x:v>
      </x:c>
      <x:c r="M63" s="1" t="s">
        <x:v>487</x:v>
      </x:c>
      <x:c r="N63" s="1" t="s">
        <x:v>19</x:v>
      </x:c>
      <x:c r="O63" s="1" t="s">
        <x:v>19</x:v>
      </x:c>
      <x:c r="P63" s="1" t="s">
        <x:v>19</x:v>
      </x:c>
    </x:row>
    <x:row r="64">
      <x:c r="A64" s="1" t="s">
        <x:v>488</x:v>
      </x:c>
      <x:c r="B64" s="1" t="s">
        <x:v>489</x:v>
      </x:c>
      <x:c r="C64" s="1" t="s">
        <x:v>490</x:v>
      </x:c>
      <x:c r="D64" s="1" t="s">
        <x:v>491</x:v>
      </x:c>
      <x:c r="E64" s="1" t="s">
        <x:v>492</x:v>
      </x:c>
      <x:c r="F64" s="1" t="s">
        <x:v>493</x:v>
      </x:c>
      <x:c r="G64" s="1" t="s">
        <x:v>339</x:v>
      </x:c>
      <x:c r="H64" s="1" t="s">
        <x:v>19</x:v>
      </x:c>
      <x:c r="I64" s="1" t="s">
        <x:v>19</x:v>
      </x:c>
      <x:c r="J64" s="1" t="s">
        <x:v>19</x:v>
      </x:c>
      <x:c r="K64" s="1" t="s">
        <x:v>306</x:v>
      </x:c>
      <x:c r="L64" s="1" t="s">
        <x:v>494</x:v>
      </x:c>
      <x:c r="M64" s="1" t="s">
        <x:v>495</x:v>
      </x:c>
      <x:c r="N64" s="1" t="s">
        <x:v>19</x:v>
      </x:c>
      <x:c r="O64" s="1" t="s">
        <x:v>19</x:v>
      </x:c>
      <x:c r="P64" s="1" t="s">
        <x:v>19</x:v>
      </x:c>
    </x:row>
    <x:row r="65">
      <x:c r="A65" s="1" t="s">
        <x:v>496</x:v>
      </x:c>
      <x:c r="B65" s="1" t="s">
        <x:v>497</x:v>
      </x:c>
      <x:c r="C65" s="1" t="s">
        <x:v>275</x:v>
      </x:c>
      <x:c r="D65" s="1" t="s">
        <x:v>498</x:v>
      </x:c>
      <x:c r="E65" s="1" t="s">
        <x:v>499</x:v>
      </x:c>
      <x:c r="F65" s="1" t="s">
        <x:v>500</x:v>
      </x:c>
      <x:c r="G65" s="1" t="s">
        <x:v>501</x:v>
      </x:c>
      <x:c r="H65" s="1" t="s">
        <x:v>19</x:v>
      </x:c>
      <x:c r="I65" s="1" t="s">
        <x:v>19</x:v>
      </x:c>
      <x:c r="J65" s="1" t="s">
        <x:v>19</x:v>
      </x:c>
      <x:c r="K65" s="1" t="s">
        <x:v>502</x:v>
      </x:c>
      <x:c r="L65" s="1" t="s">
        <x:v>503</x:v>
      </x:c>
      <x:c r="M65" s="1" t="s">
        <x:v>19</x:v>
      </x:c>
      <x:c r="N65" s="1" t="s">
        <x:v>19</x:v>
      </x:c>
      <x:c r="O65" s="1" t="s">
        <x:v>19</x:v>
      </x:c>
      <x:c r="P65" s="1" t="s">
        <x:v>19</x:v>
      </x:c>
    </x:row>
    <x:row r="66">
      <x:c r="A66" s="1" t="s">
        <x:v>504</x:v>
      </x:c>
      <x:c r="B66" s="1" t="s">
        <x:v>505</x:v>
      </x:c>
      <x:c r="C66" s="1" t="s">
        <x:v>506</x:v>
      </x:c>
      <x:c r="D66" s="1" t="s">
        <x:v>269</x:v>
      </x:c>
      <x:c r="E66" s="1" t="s">
        <x:v>507</x:v>
      </x:c>
      <x:c r="F66" s="1" t="s">
        <x:v>508</x:v>
      </x:c>
      <x:c r="G66" s="1" t="s">
        <x:v>509</x:v>
      </x:c>
      <x:c r="H66" s="1" t="s">
        <x:v>19</x:v>
      </x:c>
      <x:c r="I66" s="1" t="s">
        <x:v>19</x:v>
      </x:c>
      <x:c r="J66" s="1" t="s">
        <x:v>19</x:v>
      </x:c>
      <x:c r="K66" s="1" t="s">
        <x:v>510</x:v>
      </x:c>
      <x:c r="L66" s="1" t="s">
        <x:v>511</x:v>
      </x:c>
      <x:c r="M66" s="1" t="s">
        <x:v>19</x:v>
      </x:c>
      <x:c r="N66" s="1" t="s">
        <x:v>19</x:v>
      </x:c>
      <x:c r="O66" s="1" t="s">
        <x:v>19</x:v>
      </x:c>
      <x:c r="P66" s="1" t="s">
        <x:v>19</x:v>
      </x:c>
    </x:row>
    <x:row r="67">
      <x:c r="A67" s="1" t="s">
        <x:v>512</x:v>
      </x:c>
      <x:c r="B67" s="1" t="s">
        <x:v>256</x:v>
      </x:c>
      <x:c r="C67" s="1" t="s">
        <x:v>513</x:v>
      </x:c>
      <x:c r="D67" s="1" t="s">
        <x:v>514</x:v>
      </x:c>
      <x:c r="E67" s="1" t="s">
        <x:v>515</x:v>
      </x:c>
      <x:c r="F67" s="1" t="s">
        <x:v>516</x:v>
      </x:c>
      <x:c r="G67" s="1" t="s">
        <x:v>501</x:v>
      </x:c>
      <x:c r="H67" s="1" t="s">
        <x:v>19</x:v>
      </x:c>
      <x:c r="I67" s="1" t="s">
        <x:v>19</x:v>
      </x:c>
      <x:c r="J67" s="1" t="s">
        <x:v>19</x:v>
      </x:c>
      <x:c r="K67" s="1" t="s">
        <x:v>517</x:v>
      </x:c>
      <x:c r="L67" s="1" t="s">
        <x:v>518</x:v>
      </x:c>
      <x:c r="M67" s="1" t="s">
        <x:v>19</x:v>
      </x:c>
      <x:c r="N67" s="1" t="s">
        <x:v>19</x:v>
      </x:c>
      <x:c r="O67" s="1" t="s">
        <x:v>19</x:v>
      </x:c>
      <x:c r="P67" s="1" t="s">
        <x:v>19</x:v>
      </x:c>
    </x:row>
    <x:row r="68">
      <x:c r="A68" s="1" t="s">
        <x:v>519</x:v>
      </x:c>
      <x:c r="B68" s="1" t="s">
        <x:v>520</x:v>
      </x:c>
      <x:c r="C68" s="1" t="s">
        <x:v>521</x:v>
      </x:c>
      <x:c r="D68" s="1" t="s">
        <x:v>522</x:v>
      </x:c>
      <x:c r="E68" s="1" t="s">
        <x:v>523</x:v>
      </x:c>
      <x:c r="F68" s="1" t="s">
        <x:v>524</x:v>
      </x:c>
      <x:c r="G68" s="1" t="s">
        <x:v>525</x:v>
      </x:c>
      <x:c r="H68" s="1" t="s">
        <x:v>19</x:v>
      </x:c>
      <x:c r="I68" s="1" t="s">
        <x:v>19</x:v>
      </x:c>
      <x:c r="J68" s="1" t="s">
        <x:v>19</x:v>
      </x:c>
      <x:c r="K68" s="1" t="s">
        <x:v>118</x:v>
      </x:c>
      <x:c r="L68" s="1" t="s">
        <x:v>526</x:v>
      </x:c>
      <x:c r="M68" s="1" t="s">
        <x:v>19</x:v>
      </x:c>
      <x:c r="N68" s="1" t="s">
        <x:v>19</x:v>
      </x:c>
      <x:c r="O68" s="1" t="s">
        <x:v>19</x:v>
      </x:c>
      <x:c r="P68" s="1" t="s">
        <x:v>19</x:v>
      </x:c>
    </x:row>
    <x:row r="69">
      <x:c r="A69" s="1" t="s">
        <x:v>527</x:v>
      </x:c>
      <x:c r="B69" s="1" t="s">
        <x:v>528</x:v>
      </x:c>
      <x:c r="C69" s="1" t="s">
        <x:v>529</x:v>
      </x:c>
      <x:c r="D69" s="1" t="s">
        <x:v>522</x:v>
      </x:c>
      <x:c r="E69" s="1" t="s">
        <x:v>530</x:v>
      </x:c>
      <x:c r="F69" s="1" t="s">
        <x:v>531</x:v>
      </x:c>
      <x:c r="G69" s="1" t="s">
        <x:v>532</x:v>
      </x:c>
      <x:c r="H69" s="1" t="s">
        <x:v>19</x:v>
      </x:c>
      <x:c r="I69" s="1" t="s">
        <x:v>19</x:v>
      </x:c>
      <x:c r="J69" s="1" t="s">
        <x:v>19</x:v>
      </x:c>
      <x:c r="K69" s="1" t="s">
        <x:v>115</x:v>
      </x:c>
      <x:c r="L69" s="1" t="s">
        <x:v>533</x:v>
      </x:c>
      <x:c r="M69" s="1" t="s">
        <x:v>19</x:v>
      </x:c>
      <x:c r="N69" s="1" t="s">
        <x:v>19</x:v>
      </x:c>
      <x:c r="O69" s="1" t="s">
        <x:v>19</x:v>
      </x:c>
      <x:c r="P69" s="1" t="s">
        <x:v>19</x:v>
      </x:c>
    </x:row>
    <x:row r="70">
      <x:c r="A70" s="1" t="s">
        <x:v>534</x:v>
      </x:c>
      <x:c r="B70" s="1" t="s">
        <x:v>535</x:v>
      </x:c>
      <x:c r="C70" s="1" t="s">
        <x:v>536</x:v>
      </x:c>
      <x:c r="D70" s="1" t="s">
        <x:v>537</x:v>
      </x:c>
      <x:c r="E70" s="1" t="s">
        <x:v>538</x:v>
      </x:c>
      <x:c r="F70" s="1" t="s">
        <x:v>539</x:v>
      </x:c>
      <x:c r="G70" s="1" t="s">
        <x:v>430</x:v>
      </x:c>
      <x:c r="H70" s="1" t="s">
        <x:v>19</x:v>
      </x:c>
      <x:c r="I70" s="1" t="s">
        <x:v>19</x:v>
      </x:c>
      <x:c r="J70" s="1" t="s">
        <x:v>19</x:v>
      </x:c>
      <x:c r="K70" s="1" t="s">
        <x:v>32</x:v>
      </x:c>
      <x:c r="L70" s="1" t="s">
        <x:v>540</x:v>
      </x:c>
      <x:c r="M70" s="1" t="s">
        <x:v>19</x:v>
      </x:c>
      <x:c r="N70" s="1" t="s">
        <x:v>19</x:v>
      </x:c>
      <x:c r="O70" s="1" t="s">
        <x:v>19</x:v>
      </x:c>
      <x:c r="P70" s="1" t="s">
        <x:v>19</x:v>
      </x:c>
    </x:row>
    <x:row r="71">
      <x:c r="A71" s="1" t="s">
        <x:v>541</x:v>
      </x:c>
      <x:c r="B71" s="1" t="s">
        <x:v>542</x:v>
      </x:c>
      <x:c r="C71" s="1" t="s">
        <x:v>543</x:v>
      </x:c>
      <x:c r="D71" s="1" t="s">
        <x:v>544</x:v>
      </x:c>
      <x:c r="E71" s="1" t="s">
        <x:v>545</x:v>
      </x:c>
      <x:c r="F71" s="1" t="s">
        <x:v>546</x:v>
      </x:c>
      <x:c r="G71" s="1" t="s">
        <x:v>547</x:v>
      </x:c>
      <x:c r="H71" s="1" t="s">
        <x:v>19</x:v>
      </x:c>
      <x:c r="I71" s="1" t="s">
        <x:v>19</x:v>
      </x:c>
      <x:c r="J71" s="1" t="s">
        <x:v>19</x:v>
      </x:c>
      <x:c r="K71" s="1" t="s">
        <x:v>71</x:v>
      </x:c>
      <x:c r="L71" s="1" t="s">
        <x:v>548</x:v>
      </x:c>
      <x:c r="M71" s="1" t="s">
        <x:v>549</x:v>
      </x:c>
      <x:c r="N71" s="1" t="s">
        <x:v>19</x:v>
      </x:c>
      <x:c r="O71" s="1" t="s">
        <x:v>19</x:v>
      </x:c>
      <x:c r="P71" s="1" t="s">
        <x:v>19</x:v>
      </x:c>
    </x:row>
    <x:row r="72">
      <x:c r="A72" s="1" t="s">
        <x:v>550</x:v>
      </x:c>
      <x:c r="B72" s="1" t="s">
        <x:v>335</x:v>
      </x:c>
      <x:c r="C72" s="1" t="s">
        <x:v>551</x:v>
      </x:c>
      <x:c r="D72" s="1" t="s">
        <x:v>552</x:v>
      </x:c>
      <x:c r="E72" s="1" t="s">
        <x:v>553</x:v>
      </x:c>
      <x:c r="F72" s="1" t="s">
        <x:v>554</x:v>
      </x:c>
      <x:c r="G72" s="1" t="s">
        <x:v>555</x:v>
      </x:c>
      <x:c r="H72" s="1" t="s">
        <x:v>19</x:v>
      </x:c>
      <x:c r="I72" s="1" t="s">
        <x:v>19</x:v>
      </x:c>
      <x:c r="J72" s="1" t="s">
        <x:v>19</x:v>
      </x:c>
      <x:c r="K72" s="1" t="s">
        <x:v>118</x:v>
      </x:c>
      <x:c r="L72" s="1" t="s">
        <x:v>556</x:v>
      </x:c>
      <x:c r="M72" s="1" t="s">
        <x:v>557</x:v>
      </x:c>
      <x:c r="N72" s="1" t="s">
        <x:v>19</x:v>
      </x:c>
      <x:c r="O72" s="1" t="s">
        <x:v>19</x:v>
      </x:c>
      <x:c r="P72" s="1" t="s">
        <x:v>19</x:v>
      </x:c>
    </x:row>
    <x:row r="73">
      <x:c r="A73" s="1" t="s">
        <x:v>558</x:v>
      </x:c>
      <x:c r="B73" s="1" t="s">
        <x:v>559</x:v>
      </x:c>
      <x:c r="C73" s="1" t="s">
        <x:v>560</x:v>
      </x:c>
      <x:c r="D73" s="1" t="s">
        <x:v>117</x:v>
      </x:c>
      <x:c r="E73" s="1" t="s">
        <x:v>561</x:v>
      </x:c>
      <x:c r="F73" s="1" t="s">
        <x:v>562</x:v>
      </x:c>
      <x:c r="G73" s="1" t="s">
        <x:v>563</x:v>
      </x:c>
      <x:c r="H73" s="1" t="s">
        <x:v>19</x:v>
      </x:c>
      <x:c r="I73" s="1" t="s">
        <x:v>19</x:v>
      </x:c>
      <x:c r="J73" s="1" t="s">
        <x:v>19</x:v>
      </x:c>
      <x:c r="K73" s="1" t="s">
        <x:v>258</x:v>
      </x:c>
      <x:c r="L73" s="1" t="s">
        <x:v>564</x:v>
      </x:c>
      <x:c r="M73" s="1" t="s">
        <x:v>565</x:v>
      </x:c>
      <x:c r="N73" s="1" t="s">
        <x:v>19</x:v>
      </x:c>
      <x:c r="O73" s="1" t="s">
        <x:v>19</x:v>
      </x:c>
      <x:c r="P73" s="1" t="s">
        <x:v>19</x:v>
      </x:c>
    </x:row>
    <x:row r="74">
      <x:c r="A74" s="1" t="s">
        <x:v>566</x:v>
      </x:c>
      <x:c r="B74" s="1" t="s">
        <x:v>268</x:v>
      </x:c>
      <x:c r="C74" s="1" t="s">
        <x:v>567</x:v>
      </x:c>
      <x:c r="D74" s="1" t="s">
        <x:v>568</x:v>
      </x:c>
      <x:c r="E74" s="1" t="s">
        <x:v>569</x:v>
      </x:c>
      <x:c r="F74" s="1" t="s">
        <x:v>570</x:v>
      </x:c>
      <x:c r="G74" s="1" t="s">
        <x:v>547</x:v>
      </x:c>
      <x:c r="H74" s="1" t="s">
        <x:v>19</x:v>
      </x:c>
      <x:c r="I74" s="1" t="s">
        <x:v>19</x:v>
      </x:c>
      <x:c r="J74" s="1" t="s">
        <x:v>19</x:v>
      </x:c>
      <x:c r="K74" s="1" t="s">
        <x:v>180</x:v>
      </x:c>
      <x:c r="L74" s="1" t="s">
        <x:v>571</x:v>
      </x:c>
      <x:c r="M74" s="1" t="s">
        <x:v>565</x:v>
      </x:c>
      <x:c r="N74" s="1" t="s">
        <x:v>19</x:v>
      </x:c>
      <x:c r="O74" s="1" t="s">
        <x:v>19</x:v>
      </x:c>
      <x:c r="P74" s="1" t="s">
        <x:v>19</x:v>
      </x:c>
    </x:row>
    <x:row r="75">
      <x:c r="A75" s="1" t="s">
        <x:v>572</x:v>
      </x:c>
      <x:c r="B75" s="1" t="s">
        <x:v>573</x:v>
      </x:c>
      <x:c r="C75" s="1" t="s">
        <x:v>574</x:v>
      </x:c>
      <x:c r="D75" s="1" t="s">
        <x:v>575</x:v>
      </x:c>
      <x:c r="E75" s="1" t="s">
        <x:v>576</x:v>
      </x:c>
      <x:c r="F75" s="1" t="s">
        <x:v>577</x:v>
      </x:c>
      <x:c r="G75" s="1" t="s">
        <x:v>578</x:v>
      </x:c>
      <x:c r="H75" s="1" t="s">
        <x:v>19</x:v>
      </x:c>
      <x:c r="I75" s="1" t="s">
        <x:v>19</x:v>
      </x:c>
      <x:c r="J75" s="1" t="s">
        <x:v>19</x:v>
      </x:c>
      <x:c r="K75" s="1" t="s">
        <x:v>71</x:v>
      </x:c>
      <x:c r="L75" s="1" t="s">
        <x:v>579</x:v>
      </x:c>
      <x:c r="M75" s="1" t="s">
        <x:v>580</x:v>
      </x:c>
      <x:c r="N75" s="1" t="s">
        <x:v>19</x:v>
      </x:c>
      <x:c r="O75" s="1" t="s">
        <x:v>19</x:v>
      </x:c>
      <x:c r="P75" s="1" t="s">
        <x:v>19</x:v>
      </x:c>
    </x:row>
    <x:row r="76">
      <x:c r="A76" s="1" t="s">
        <x:v>581</x:v>
      </x:c>
      <x:c r="B76" s="1" t="s">
        <x:v>582</x:v>
      </x:c>
      <x:c r="C76" s="1" t="s">
        <x:v>583</x:v>
      </x:c>
      <x:c r="D76" s="1" t="s">
        <x:v>584</x:v>
      </x:c>
      <x:c r="E76" s="1" t="s">
        <x:v>585</x:v>
      </x:c>
      <x:c r="F76" s="1" t="s">
        <x:v>586</x:v>
      </x:c>
      <x:c r="G76" s="1" t="s">
        <x:v>587</x:v>
      </x:c>
      <x:c r="H76" s="1" t="s">
        <x:v>19</x:v>
      </x:c>
      <x:c r="I76" s="1" t="s">
        <x:v>19</x:v>
      </x:c>
      <x:c r="J76" s="1" t="s">
        <x:v>19</x:v>
      </x:c>
      <x:c r="K76" s="1" t="s">
        <x:v>32</x:v>
      </x:c>
      <x:c r="L76" s="1" t="s">
        <x:v>588</x:v>
      </x:c>
      <x:c r="M76" s="1" t="s">
        <x:v>569</x:v>
      </x:c>
      <x:c r="N76" s="1" t="s">
        <x:v>19</x:v>
      </x:c>
      <x:c r="O76" s="1" t="s">
        <x:v>19</x:v>
      </x:c>
      <x:c r="P76" s="1" t="s">
        <x:v>19</x:v>
      </x:c>
    </x:row>
    <x:row r="77">
      <x:c r="A77" s="1" t="s">
        <x:v>589</x:v>
      </x:c>
      <x:c r="B77" s="1" t="s">
        <x:v>590</x:v>
      </x:c>
      <x:c r="C77" s="1" t="s">
        <x:v>591</x:v>
      </x:c>
      <x:c r="D77" s="1" t="s">
        <x:v>592</x:v>
      </x:c>
      <x:c r="E77" s="1" t="s">
        <x:v>593</x:v>
      </x:c>
      <x:c r="F77" s="1" t="s">
        <x:v>594</x:v>
      </x:c>
      <x:c r="G77" s="1" t="s">
        <x:v>595</x:v>
      </x:c>
      <x:c r="H77" s="1" t="s">
        <x:v>19</x:v>
      </x:c>
      <x:c r="I77" s="1" t="s">
        <x:v>19</x:v>
      </x:c>
      <x:c r="J77" s="1" t="s">
        <x:v>19</x:v>
      </x:c>
      <x:c r="K77" s="1" t="s">
        <x:v>215</x:v>
      </x:c>
      <x:c r="L77" s="1" t="s">
        <x:v>320</x:v>
      </x:c>
      <x:c r="M77" s="1" t="s">
        <x:v>596</x:v>
      </x:c>
      <x:c r="N77" s="1" t="s">
        <x:v>19</x:v>
      </x:c>
      <x:c r="O77" s="1" t="s">
        <x:v>19</x:v>
      </x:c>
      <x:c r="P77" s="1" t="s">
        <x:v>19</x:v>
      </x:c>
    </x:row>
    <x:row r="78">
      <x:c r="A78" s="1" t="s">
        <x:v>597</x:v>
      </x:c>
      <x:c r="B78" s="1" t="s">
        <x:v>598</x:v>
      </x:c>
      <x:c r="C78" s="1" t="s">
        <x:v>599</x:v>
      </x:c>
      <x:c r="D78" s="1" t="s">
        <x:v>600</x:v>
      </x:c>
      <x:c r="E78" s="1" t="s">
        <x:v>601</x:v>
      </x:c>
      <x:c r="F78" s="1" t="s">
        <x:v>602</x:v>
      </x:c>
      <x:c r="G78" s="1" t="s">
        <x:v>603</x:v>
      </x:c>
      <x:c r="H78" s="1" t="s">
        <x:v>19</x:v>
      </x:c>
      <x:c r="I78" s="1" t="s">
        <x:v>19</x:v>
      </x:c>
      <x:c r="J78" s="1" t="s">
        <x:v>19</x:v>
      </x:c>
      <x:c r="K78" s="1" t="s">
        <x:v>460</x:v>
      </x:c>
      <x:c r="L78" s="1" t="s">
        <x:v>300</x:v>
      </x:c>
      <x:c r="M78" s="1" t="s">
        <x:v>507</x:v>
      </x:c>
      <x:c r="N78" s="1" t="s">
        <x:v>19</x:v>
      </x:c>
      <x:c r="O78" s="1" t="s">
        <x:v>19</x:v>
      </x:c>
      <x:c r="P78" s="1" t="s">
        <x:v>19</x:v>
      </x:c>
    </x:row>
    <x:row r="79">
      <x:c r="A79" s="1" t="s">
        <x:v>604</x:v>
      </x:c>
      <x:c r="B79" s="1" t="s">
        <x:v>605</x:v>
      </x:c>
      <x:c r="C79" s="1" t="s">
        <x:v>606</x:v>
      </x:c>
      <x:c r="D79" s="1" t="s">
        <x:v>607</x:v>
      </x:c>
      <x:c r="E79" s="1" t="s">
        <x:v>608</x:v>
      </x:c>
      <x:c r="F79" s="1" t="s">
        <x:v>609</x:v>
      </x:c>
      <x:c r="G79" s="1" t="s">
        <x:v>610</x:v>
      </x:c>
      <x:c r="H79" s="1" t="s">
        <x:v>19</x:v>
      </x:c>
      <x:c r="I79" s="1" t="s">
        <x:v>19</x:v>
      </x:c>
      <x:c r="J79" s="1" t="s">
        <x:v>19</x:v>
      </x:c>
      <x:c r="K79" s="1" t="s">
        <x:v>339</x:v>
      </x:c>
      <x:c r="L79" s="1" t="s">
        <x:v>611</x:v>
      </x:c>
      <x:c r="M79" s="1" t="s">
        <x:v>612</x:v>
      </x:c>
      <x:c r="N79" s="1" t="s">
        <x:v>19</x:v>
      </x:c>
      <x:c r="O79" s="1" t="s">
        <x:v>19</x:v>
      </x:c>
      <x:c r="P79" s="1" t="s">
        <x:v>19</x:v>
      </x:c>
    </x:row>
    <x:row r="80">
      <x:c r="A80" s="1" t="s">
        <x:v>613</x:v>
      </x:c>
      <x:c r="B80" s="1" t="s">
        <x:v>614</x:v>
      </x:c>
      <x:c r="C80" s="1" t="s">
        <x:v>615</x:v>
      </x:c>
      <x:c r="D80" s="1" t="s">
        <x:v>616</x:v>
      </x:c>
      <x:c r="E80" s="1" t="s">
        <x:v>617</x:v>
      </x:c>
      <x:c r="F80" s="1" t="s">
        <x:v>618</x:v>
      </x:c>
      <x:c r="G80" s="1" t="s">
        <x:v>619</x:v>
      </x:c>
      <x:c r="H80" s="1" t="s">
        <x:v>19</x:v>
      </x:c>
      <x:c r="I80" s="1" t="s">
        <x:v>19</x:v>
      </x:c>
      <x:c r="J80" s="1" t="s">
        <x:v>19</x:v>
      </x:c>
      <x:c r="K80" s="1" t="s">
        <x:v>522</x:v>
      </x:c>
      <x:c r="L80" s="1" t="s">
        <x:v>115</x:v>
      </x:c>
      <x:c r="M80" s="1" t="s">
        <x:v>620</x:v>
      </x:c>
      <x:c r="N80" s="1" t="s">
        <x:v>621</x:v>
      </x:c>
      <x:c r="O80" s="1" t="s">
        <x:v>19</x:v>
      </x:c>
      <x:c r="P80" s="1" t="s">
        <x:v>19</x:v>
      </x:c>
    </x:row>
    <x:row r="81">
      <x:c r="A81" s="1" t="s">
        <x:v>622</x:v>
      </x:c>
      <x:c r="B81" s="1" t="s">
        <x:v>623</x:v>
      </x:c>
      <x:c r="C81" s="1" t="s">
        <x:v>624</x:v>
      </x:c>
      <x:c r="D81" s="1" t="s">
        <x:v>625</x:v>
      </x:c>
      <x:c r="E81" s="1" t="s">
        <x:v>626</x:v>
      </x:c>
      <x:c r="F81" s="1" t="s">
        <x:v>627</x:v>
      </x:c>
      <x:c r="G81" s="1" t="s">
        <x:v>628</x:v>
      </x:c>
      <x:c r="H81" s="1" t="s">
        <x:v>19</x:v>
      </x:c>
      <x:c r="I81" s="1" t="s">
        <x:v>19</x:v>
      </x:c>
      <x:c r="J81" s="1" t="s">
        <x:v>19</x:v>
      </x:c>
      <x:c r="K81" s="1" t="s">
        <x:v>629</x:v>
      </x:c>
      <x:c r="L81" s="1" t="s">
        <x:v>157</x:v>
      </x:c>
      <x:c r="M81" s="1" t="s">
        <x:v>630</x:v>
      </x:c>
      <x:c r="N81" s="1" t="s">
        <x:v>19</x:v>
      </x:c>
      <x:c r="O81" s="1" t="s">
        <x:v>631</x:v>
      </x:c>
      <x:c r="P81" s="1" t="s">
        <x:v>19</x:v>
      </x:c>
    </x:row>
    <x:row r="82">
      <x:c r="A82" s="1" t="s">
        <x:v>632</x:v>
      </x:c>
      <x:c r="B82" s="1" t="s">
        <x:v>633</x:v>
      </x:c>
      <x:c r="C82" s="1" t="s">
        <x:v>634</x:v>
      </x:c>
      <x:c r="D82" s="1" t="s">
        <x:v>584</x:v>
      </x:c>
      <x:c r="E82" s="1" t="s">
        <x:v>635</x:v>
      </x:c>
      <x:c r="F82" s="1" t="s">
        <x:v>636</x:v>
      </x:c>
      <x:c r="G82" s="1" t="s">
        <x:v>637</x:v>
      </x:c>
      <x:c r="H82" s="1" t="s">
        <x:v>19</x:v>
      </x:c>
      <x:c r="I82" s="1" t="s">
        <x:v>19</x:v>
      </x:c>
      <x:c r="J82" s="1" t="s">
        <x:v>19</x:v>
      </x:c>
      <x:c r="K82" s="1" t="s">
        <x:v>638</x:v>
      </x:c>
      <x:c r="L82" s="1" t="s">
        <x:v>128</x:v>
      </x:c>
      <x:c r="M82" s="1" t="s">
        <x:v>639</x:v>
      </x:c>
      <x:c r="N82" s="1" t="s">
        <x:v>19</x:v>
      </x:c>
      <x:c r="O82" s="1" t="s">
        <x:v>438</x:v>
      </x:c>
      <x:c r="P82" s="1" t="s">
        <x:v>19</x:v>
      </x:c>
    </x:row>
    <x:row r="83">
      <x:c r="A83" s="1" t="s">
        <x:v>640</x:v>
      </x:c>
      <x:c r="B83" s="1" t="s">
        <x:v>641</x:v>
      </x:c>
      <x:c r="C83" s="1" t="s">
        <x:v>642</x:v>
      </x:c>
      <x:c r="D83" s="1" t="s">
        <x:v>643</x:v>
      </x:c>
      <x:c r="E83" s="1" t="s">
        <x:v>644</x:v>
      </x:c>
      <x:c r="F83" s="1" t="s">
        <x:v>645</x:v>
      </x:c>
      <x:c r="G83" s="1" t="s">
        <x:v>603</x:v>
      </x:c>
      <x:c r="H83" s="1" t="s">
        <x:v>19</x:v>
      </x:c>
      <x:c r="I83" s="1" t="s">
        <x:v>19</x:v>
      </x:c>
      <x:c r="J83" s="1" t="s">
        <x:v>19</x:v>
      </x:c>
      <x:c r="K83" s="1" t="s">
        <x:v>646</x:v>
      </x:c>
      <x:c r="L83" s="1" t="s">
        <x:v>222</x:v>
      </x:c>
      <x:c r="M83" s="1" t="s">
        <x:v>19</x:v>
      </x:c>
      <x:c r="N83" s="1" t="s">
        <x:v>19</x:v>
      </x:c>
      <x:c r="O83" s="1" t="s">
        <x:v>438</x:v>
      </x:c>
      <x:c r="P83" s="1" t="s">
        <x:v>19</x:v>
      </x:c>
    </x:row>
    <x:row r="84">
      <x:c r="A84" s="1" t="s">
        <x:v>647</x:v>
      </x:c>
      <x:c r="B84" s="1" t="s">
        <x:v>648</x:v>
      </x:c>
      <x:c r="C84" s="1" t="s">
        <x:v>649</x:v>
      </x:c>
      <x:c r="D84" s="1" t="s">
        <x:v>643</x:v>
      </x:c>
      <x:c r="E84" s="1" t="s">
        <x:v>650</x:v>
      </x:c>
      <x:c r="F84" s="1" t="s">
        <x:v>651</x:v>
      </x:c>
      <x:c r="G84" s="1" t="s">
        <x:v>652</x:v>
      </x:c>
      <x:c r="H84" s="1" t="s">
        <x:v>19</x:v>
      </x:c>
      <x:c r="I84" s="1" t="s">
        <x:v>19</x:v>
      </x:c>
      <x:c r="J84" s="1" t="s">
        <x:v>19</x:v>
      </x:c>
      <x:c r="K84" s="1" t="s">
        <x:v>653</x:v>
      </x:c>
      <x:c r="L84" s="1" t="s">
        <x:v>222</x:v>
      </x:c>
      <x:c r="M84" s="1" t="s">
        <x:v>19</x:v>
      </x:c>
      <x:c r="N84" s="1" t="s">
        <x:v>19</x:v>
      </x:c>
      <x:c r="O84" s="1" t="s">
        <x:v>370</x:v>
      </x:c>
      <x:c r="P84" s="1" t="s">
        <x:v>19</x:v>
      </x:c>
    </x:row>
    <x:row r="85">
      <x:c r="A85" s="1" t="s">
        <x:v>654</x:v>
      </x:c>
      <x:c r="B85" s="1" t="s">
        <x:v>655</x:v>
      </x:c>
      <x:c r="C85" s="1" t="s">
        <x:v>656</x:v>
      </x:c>
      <x:c r="D85" s="1" t="s">
        <x:v>657</x:v>
      </x:c>
      <x:c r="E85" s="1" t="s">
        <x:v>406</x:v>
      </x:c>
      <x:c r="F85" s="1" t="s">
        <x:v>658</x:v>
      </x:c>
      <x:c r="G85" s="1" t="s">
        <x:v>596</x:v>
      </x:c>
      <x:c r="H85" s="1" t="s">
        <x:v>19</x:v>
      </x:c>
      <x:c r="I85" s="1" t="s">
        <x:v>19</x:v>
      </x:c>
      <x:c r="J85" s="1" t="s">
        <x:v>19</x:v>
      </x:c>
      <x:c r="K85" s="1" t="s">
        <x:v>659</x:v>
      </x:c>
      <x:c r="L85" s="1" t="s">
        <x:v>660</x:v>
      </x:c>
      <x:c r="M85" s="1" t="s">
        <x:v>19</x:v>
      </x:c>
      <x:c r="N85" s="1" t="s">
        <x:v>19</x:v>
      </x:c>
      <x:c r="O85" s="1" t="s">
        <x:v>661</x:v>
      </x:c>
      <x:c r="P85" s="1" t="s">
        <x:v>19</x:v>
      </x:c>
    </x:row>
    <x:row r="86">
      <x:c r="A86" s="1" t="s">
        <x:v>662</x:v>
      </x:c>
      <x:c r="B86" s="1" t="s">
        <x:v>663</x:v>
      </x:c>
      <x:c r="C86" s="1" t="s">
        <x:v>664</x:v>
      </x:c>
      <x:c r="D86" s="1" t="s">
        <x:v>665</x:v>
      </x:c>
      <x:c r="E86" s="1" t="s">
        <x:v>666</x:v>
      </x:c>
      <x:c r="F86" s="1" t="s">
        <x:v>667</x:v>
      </x:c>
      <x:c r="G86" s="1" t="s">
        <x:v>576</x:v>
      </x:c>
      <x:c r="H86" s="1" t="s">
        <x:v>19</x:v>
      </x:c>
      <x:c r="I86" s="1" t="s">
        <x:v>19</x:v>
      </x:c>
      <x:c r="J86" s="1" t="s">
        <x:v>19</x:v>
      </x:c>
      <x:c r="K86" s="1" t="s">
        <x:v>244</x:v>
      </x:c>
      <x:c r="L86" s="1" t="s">
        <x:v>668</x:v>
      </x:c>
      <x:c r="M86" s="1" t="s">
        <x:v>19</x:v>
      </x:c>
      <x:c r="N86" s="1" t="s">
        <x:v>19</x:v>
      </x:c>
      <x:c r="O86" s="1" t="s">
        <x:v>356</x:v>
      </x:c>
      <x:c r="P86" s="1" t="s">
        <x:v>19</x:v>
      </x:c>
    </x:row>
    <x:row r="87">
      <x:c r="A87" s="1" t="s">
        <x:v>669</x:v>
      </x:c>
      <x:c r="B87" s="1" t="s">
        <x:v>458</x:v>
      </x:c>
      <x:c r="C87" s="1" t="s">
        <x:v>670</x:v>
      </x:c>
      <x:c r="D87" s="1" t="s">
        <x:v>671</x:v>
      </x:c>
      <x:c r="E87" s="1" t="s">
        <x:v>672</x:v>
      </x:c>
      <x:c r="F87" s="1" t="s">
        <x:v>673</x:v>
      </x:c>
      <x:c r="G87" s="1" t="s">
        <x:v>674</x:v>
      </x:c>
      <x:c r="H87" s="1" t="s">
        <x:v>19</x:v>
      </x:c>
      <x:c r="I87" s="1" t="s">
        <x:v>19</x:v>
      </x:c>
      <x:c r="J87" s="1" t="s">
        <x:v>19</x:v>
      </x:c>
      <x:c r="K87" s="1" t="s">
        <x:v>675</x:v>
      </x:c>
      <x:c r="L87" s="1" t="s">
        <x:v>676</x:v>
      </x:c>
      <x:c r="M87" s="1" t="s">
        <x:v>19</x:v>
      </x:c>
      <x:c r="N87" s="1" t="s">
        <x:v>19</x:v>
      </x:c>
      <x:c r="O87" s="1" t="s">
        <x:v>424</x:v>
      </x:c>
      <x:c r="P87" s="1" t="s">
        <x:v>19</x:v>
      </x:c>
    </x:row>
    <x:row r="88">
      <x:c r="A88" s="1" t="s">
        <x:v>677</x:v>
      </x:c>
      <x:c r="B88" s="1" t="s">
        <x:v>678</x:v>
      </x:c>
      <x:c r="C88" s="1" t="s">
        <x:v>679</x:v>
      </x:c>
      <x:c r="D88" s="1" t="s">
        <x:v>680</x:v>
      </x:c>
      <x:c r="E88" s="1" t="s">
        <x:v>681</x:v>
      </x:c>
      <x:c r="F88" s="1" t="s">
        <x:v>682</x:v>
      </x:c>
      <x:c r="G88" s="1" t="s">
        <x:v>683</x:v>
      </x:c>
      <x:c r="H88" s="1" t="s">
        <x:v>19</x:v>
      </x:c>
      <x:c r="I88" s="1" t="s">
        <x:v>19</x:v>
      </x:c>
      <x:c r="J88" s="1" t="s">
        <x:v>19</x:v>
      </x:c>
      <x:c r="K88" s="1" t="s">
        <x:v>576</x:v>
      </x:c>
      <x:c r="L88" s="1" t="s">
        <x:v>684</x:v>
      </x:c>
      <x:c r="M88" s="1" t="s">
        <x:v>19</x:v>
      </x:c>
      <x:c r="N88" s="1" t="s">
        <x:v>19</x:v>
      </x:c>
      <x:c r="O88" s="1" t="s">
        <x:v>685</x:v>
      </x:c>
      <x:c r="P88" s="1" t="s">
        <x:v>19</x:v>
      </x:c>
    </x:row>
    <x:row r="89">
      <x:c r="A89" s="1" t="s">
        <x:v>686</x:v>
      </x:c>
      <x:c r="B89" s="1" t="s">
        <x:v>687</x:v>
      </x:c>
      <x:c r="C89" s="1" t="s">
        <x:v>688</x:v>
      </x:c>
      <x:c r="D89" s="1" t="s">
        <x:v>689</x:v>
      </x:c>
      <x:c r="E89" s="1" t="s">
        <x:v>690</x:v>
      </x:c>
      <x:c r="F89" s="1" t="s">
        <x:v>691</x:v>
      </x:c>
      <x:c r="G89" s="1" t="s">
        <x:v>674</x:v>
      </x:c>
      <x:c r="H89" s="1" t="s">
        <x:v>19</x:v>
      </x:c>
      <x:c r="I89" s="1" t="s">
        <x:v>19</x:v>
      </x:c>
      <x:c r="J89" s="1" t="s">
        <x:v>19</x:v>
      </x:c>
      <x:c r="K89" s="1" t="s">
        <x:v>692</x:v>
      </x:c>
      <x:c r="L89" s="1" t="s">
        <x:v>693</x:v>
      </x:c>
      <x:c r="M89" s="1" t="s">
        <x:v>19</x:v>
      </x:c>
      <x:c r="N89" s="1" t="s">
        <x:v>19</x:v>
      </x:c>
      <x:c r="O89" s="1" t="s">
        <x:v>379</x:v>
      </x:c>
      <x:c r="P89" s="1" t="s">
        <x:v>19</x:v>
      </x:c>
    </x:row>
    <x:row r="90">
      <x:c r="A90" s="1" t="s">
        <x:v>694</x:v>
      </x:c>
      <x:c r="B90" s="1" t="s">
        <x:v>695</x:v>
      </x:c>
      <x:c r="C90" s="1" t="s">
        <x:v>696</x:v>
      </x:c>
      <x:c r="D90" s="1" t="s">
        <x:v>697</x:v>
      </x:c>
      <x:c r="E90" s="1" t="s">
        <x:v>698</x:v>
      </x:c>
      <x:c r="F90" s="1" t="s">
        <x:v>699</x:v>
      </x:c>
      <x:c r="G90" s="1" t="s">
        <x:v>700</x:v>
      </x:c>
      <x:c r="H90" s="1" t="s">
        <x:v>19</x:v>
      </x:c>
      <x:c r="I90" s="1" t="s">
        <x:v>19</x:v>
      </x:c>
      <x:c r="J90" s="1" t="s">
        <x:v>19</x:v>
      </x:c>
      <x:c r="K90" s="1" t="s">
        <x:v>701</x:v>
      </x:c>
      <x:c r="L90" s="1" t="s">
        <x:v>693</x:v>
      </x:c>
      <x:c r="M90" s="1" t="s">
        <x:v>19</x:v>
      </x:c>
      <x:c r="N90" s="1" t="s">
        <x:v>19</x:v>
      </x:c>
      <x:c r="O90" s="1" t="s">
        <x:v>424</x:v>
      </x:c>
      <x:c r="P90" s="1" t="s">
        <x:v>19</x:v>
      </x:c>
    </x:row>
    <x:row r="91">
      <x:c r="A91" s="1" t="s">
        <x:v>702</x:v>
      </x:c>
      <x:c r="B91" s="1" t="s">
        <x:v>703</x:v>
      </x:c>
      <x:c r="C91" s="1" t="s">
        <x:v>704</x:v>
      </x:c>
      <x:c r="D91" s="1" t="s">
        <x:v>705</x:v>
      </x:c>
      <x:c r="E91" s="1" t="s">
        <x:v>706</x:v>
      </x:c>
      <x:c r="F91" s="1" t="s">
        <x:v>707</x:v>
      </x:c>
      <x:c r="G91" s="1" t="s">
        <x:v>708</x:v>
      </x:c>
      <x:c r="H91" s="1" t="s">
        <x:v>19</x:v>
      </x:c>
      <x:c r="I91" s="1" t="s">
        <x:v>19</x:v>
      </x:c>
      <x:c r="J91" s="1" t="s">
        <x:v>19</x:v>
      </x:c>
      <x:c r="K91" s="1" t="s">
        <x:v>709</x:v>
      </x:c>
      <x:c r="L91" s="1" t="s">
        <x:v>693</x:v>
      </x:c>
      <x:c r="M91" s="1" t="s">
        <x:v>19</x:v>
      </x:c>
      <x:c r="N91" s="1" t="s">
        <x:v>19</x:v>
      </x:c>
      <x:c r="O91" s="1" t="s">
        <x:v>631</x:v>
      </x:c>
      <x:c r="P91" s="1" t="s">
        <x:v>19</x:v>
      </x:c>
    </x:row>
    <x:row r="92">
      <x:c r="A92" s="1" t="s">
        <x:v>710</x:v>
      </x:c>
      <x:c r="B92" s="1" t="s">
        <x:v>711</x:v>
      </x:c>
      <x:c r="C92" s="1" t="s">
        <x:v>712</x:v>
      </x:c>
      <x:c r="D92" s="1" t="s">
        <x:v>713</x:v>
      </x:c>
      <x:c r="E92" s="1" t="s">
        <x:v>672</x:v>
      </x:c>
      <x:c r="F92" s="1" t="s">
        <x:v>714</x:v>
      </x:c>
      <x:c r="G92" s="1" t="s">
        <x:v>715</x:v>
      </x:c>
      <x:c r="H92" s="1" t="s">
        <x:v>19</x:v>
      </x:c>
      <x:c r="I92" s="1" t="s">
        <x:v>19</x:v>
      </x:c>
      <x:c r="J92" s="1" t="s">
        <x:v>19</x:v>
      </x:c>
      <x:c r="K92" s="1" t="s">
        <x:v>716</x:v>
      </x:c>
      <x:c r="L92" s="1" t="s">
        <x:v>586</x:v>
      </x:c>
      <x:c r="M92" s="1" t="s">
        <x:v>19</x:v>
      </x:c>
      <x:c r="N92" s="1" t="s">
        <x:v>19</x:v>
      </x:c>
      <x:c r="O92" s="1" t="s">
        <x:v>424</x:v>
      </x:c>
      <x:c r="P92" s="1" t="s">
        <x:v>19</x:v>
      </x:c>
    </x:row>
    <x:row r="93">
      <x:c r="A93" s="1" t="s">
        <x:v>717</x:v>
      </x:c>
      <x:c r="B93" s="1" t="s">
        <x:v>718</x:v>
      </x:c>
      <x:c r="C93" s="1" t="s">
        <x:v>719</x:v>
      </x:c>
      <x:c r="D93" s="1" t="s">
        <x:v>720</x:v>
      </x:c>
      <x:c r="E93" s="1" t="s">
        <x:v>721</x:v>
      </x:c>
      <x:c r="F93" s="1" t="s">
        <x:v>722</x:v>
      </x:c>
      <x:c r="G93" s="1" t="s">
        <x:v>723</x:v>
      </x:c>
      <x:c r="H93" s="1" t="s">
        <x:v>19</x:v>
      </x:c>
      <x:c r="I93" s="1" t="s">
        <x:v>19</x:v>
      </x:c>
      <x:c r="J93" s="1" t="s">
        <x:v>19</x:v>
      </x:c>
      <x:c r="K93" s="1" t="s">
        <x:v>724</x:v>
      </x:c>
      <x:c r="L93" s="1" t="s">
        <x:v>725</x:v>
      </x:c>
      <x:c r="M93" s="1" t="s">
        <x:v>19</x:v>
      </x:c>
      <x:c r="N93" s="1" t="s">
        <x:v>19</x:v>
      </x:c>
      <x:c r="O93" s="1" t="s">
        <x:v>400</x:v>
      </x:c>
      <x:c r="P93" s="1" t="s">
        <x:v>19</x:v>
      </x:c>
    </x:row>
    <x:row r="94">
      <x:c r="A94" s="1" t="s">
        <x:v>726</x:v>
      </x:c>
      <x:c r="B94" s="1" t="s">
        <x:v>727</x:v>
      </x:c>
      <x:c r="C94" s="1" t="s">
        <x:v>728</x:v>
      </x:c>
      <x:c r="D94" s="1" t="s">
        <x:v>729</x:v>
      </x:c>
      <x:c r="E94" s="1" t="s">
        <x:v>646</x:v>
      </x:c>
      <x:c r="F94" s="1" t="s">
        <x:v>730</x:v>
      </x:c>
      <x:c r="G94" s="1" t="s">
        <x:v>731</x:v>
      </x:c>
      <x:c r="H94" s="1" t="s">
        <x:v>19</x:v>
      </x:c>
      <x:c r="I94" s="1" t="s">
        <x:v>19</x:v>
      </x:c>
      <x:c r="J94" s="1" t="s">
        <x:v>19</x:v>
      </x:c>
      <x:c r="K94" s="1" t="s">
        <x:v>732</x:v>
      </x:c>
      <x:c r="L94" s="1" t="s">
        <x:v>733</x:v>
      </x:c>
      <x:c r="M94" s="1" t="s">
        <x:v>19</x:v>
      </x:c>
      <x:c r="N94" s="1" t="s">
        <x:v>19</x:v>
      </x:c>
      <x:c r="O94" s="1" t="s">
        <x:v>460</x:v>
      </x:c>
      <x:c r="P94" s="1" t="s">
        <x:v>19</x:v>
      </x:c>
    </x:row>
    <x:row r="95">
      <x:c r="A95" s="1" t="s">
        <x:v>734</x:v>
      </x:c>
      <x:c r="B95" s="1" t="s">
        <x:v>506</x:v>
      </x:c>
      <x:c r="C95" s="1" t="s">
        <x:v>735</x:v>
      </x:c>
      <x:c r="D95" s="1" t="s">
        <x:v>720</x:v>
      </x:c>
      <x:c r="E95" s="1" t="s">
        <x:v>553</x:v>
      </x:c>
      <x:c r="F95" s="1" t="s">
        <x:v>736</x:v>
      </x:c>
      <x:c r="G95" s="1" t="s">
        <x:v>592</x:v>
      </x:c>
      <x:c r="H95" s="1" t="s">
        <x:v>19</x:v>
      </x:c>
      <x:c r="I95" s="1" t="s">
        <x:v>19</x:v>
      </x:c>
      <x:c r="J95" s="1" t="s">
        <x:v>19</x:v>
      </x:c>
      <x:c r="K95" s="1" t="s">
        <x:v>737</x:v>
      </x:c>
      <x:c r="L95" s="1" t="s">
        <x:v>738</x:v>
      </x:c>
      <x:c r="M95" s="1" t="s">
        <x:v>19</x:v>
      </x:c>
      <x:c r="N95" s="1" t="s">
        <x:v>19</x:v>
      </x:c>
      <x:c r="O95" s="1" t="s">
        <x:v>436</x:v>
      </x:c>
      <x:c r="P95" s="1" t="s">
        <x:v>19</x:v>
      </x:c>
    </x:row>
    <x:row r="96">
      <x:c r="A96" s="1" t="s">
        <x:v>739</x:v>
      </x:c>
      <x:c r="B96" s="1" t="s">
        <x:v>740</x:v>
      </x:c>
      <x:c r="C96" s="1" t="s">
        <x:v>741</x:v>
      </x:c>
      <x:c r="D96" s="1" t="s">
        <x:v>742</x:v>
      </x:c>
      <x:c r="E96" s="1" t="s">
        <x:v>743</x:v>
      </x:c>
      <x:c r="F96" s="1" t="s">
        <x:v>744</x:v>
      </x:c>
      <x:c r="G96" s="1" t="s">
        <x:v>745</x:v>
      </x:c>
      <x:c r="H96" s="1" t="s">
        <x:v>19</x:v>
      </x:c>
      <x:c r="I96" s="1" t="s">
        <x:v>19</x:v>
      </x:c>
      <x:c r="J96" s="1" t="s">
        <x:v>19</x:v>
      </x:c>
      <x:c r="K96" s="1" t="s">
        <x:v>746</x:v>
      </x:c>
      <x:c r="L96" s="1" t="s">
        <x:v>747</x:v>
      </x:c>
      <x:c r="M96" s="1" t="s">
        <x:v>19</x:v>
      </x:c>
      <x:c r="N96" s="1" t="s">
        <x:v>19</x:v>
      </x:c>
      <x:c r="O96" s="1" t="s">
        <x:v>436</x:v>
      </x:c>
      <x:c r="P96" s="1" t="s">
        <x:v>19</x:v>
      </x:c>
    </x:row>
    <x:row r="97">
      <x:c r="A97" s="1" t="s">
        <x:v>748</x:v>
      </x:c>
      <x:c r="B97" s="1" t="s">
        <x:v>749</x:v>
      </x:c>
      <x:c r="C97" s="1" t="s">
        <x:v>750</x:v>
      </x:c>
      <x:c r="D97" s="1" t="s">
        <x:v>751</x:v>
      </x:c>
      <x:c r="E97" s="1" t="s">
        <x:v>752</x:v>
      </x:c>
      <x:c r="F97" s="1" t="s">
        <x:v>753</x:v>
      </x:c>
      <x:c r="G97" s="1" t="s">
        <x:v>537</x:v>
      </x:c>
      <x:c r="H97" s="1" t="s">
        <x:v>19</x:v>
      </x:c>
      <x:c r="I97" s="1" t="s">
        <x:v>19</x:v>
      </x:c>
      <x:c r="J97" s="1" t="s">
        <x:v>19</x:v>
      </x:c>
      <x:c r="K97" s="1" t="s">
        <x:v>754</x:v>
      </x:c>
      <x:c r="L97" s="1" t="s">
        <x:v>755</x:v>
      </x:c>
      <x:c r="M97" s="1" t="s">
        <x:v>19</x:v>
      </x:c>
      <x:c r="N97" s="1" t="s">
        <x:v>19</x:v>
      </x:c>
      <x:c r="O97" s="1" t="s">
        <x:v>445</x:v>
      </x:c>
      <x:c r="P97" s="1" t="s">
        <x:v>19</x:v>
      </x:c>
    </x:row>
    <x:row r="98">
      <x:c r="A98" s="1" t="s">
        <x:v>756</x:v>
      </x:c>
      <x:c r="B98" s="1" t="s">
        <x:v>757</x:v>
      </x:c>
      <x:c r="C98" s="1" t="s">
        <x:v>758</x:v>
      </x:c>
      <x:c r="D98" s="1" t="s">
        <x:v>759</x:v>
      </x:c>
      <x:c r="E98" s="1" t="s">
        <x:v>760</x:v>
      </x:c>
      <x:c r="F98" s="1" t="s">
        <x:v>43</x:v>
      </x:c>
      <x:c r="G98" s="1" t="s">
        <x:v>761</x:v>
      </x:c>
      <x:c r="H98" s="1" t="s">
        <x:v>19</x:v>
      </x:c>
      <x:c r="I98" s="1" t="s">
        <x:v>19</x:v>
      </x:c>
      <x:c r="J98" s="1" t="s">
        <x:v>19</x:v>
      </x:c>
      <x:c r="K98" s="1" t="s">
        <x:v>762</x:v>
      </x:c>
      <x:c r="L98" s="1" t="s">
        <x:v>763</x:v>
      </x:c>
      <x:c r="M98" s="1" t="s">
        <x:v>19</x:v>
      </x:c>
      <x:c r="N98" s="1" t="s">
        <x:v>19</x:v>
      </x:c>
      <x:c r="O98" s="1" t="s">
        <x:v>764</x:v>
      </x:c>
      <x:c r="P98" s="1" t="s">
        <x:v>19</x:v>
      </x:c>
    </x:row>
    <x:row r="99">
      <x:c r="A99" s="1" t="s">
        <x:v>765</x:v>
      </x:c>
      <x:c r="B99" s="1" t="s">
        <x:v>766</x:v>
      </x:c>
      <x:c r="C99" s="1" t="s">
        <x:v>178</x:v>
      </x:c>
      <x:c r="D99" s="1" t="s">
        <x:v>767</x:v>
      </x:c>
      <x:c r="E99" s="1" t="s">
        <x:v>768</x:v>
      </x:c>
      <x:c r="F99" s="1" t="s">
        <x:v>769</x:v>
      </x:c>
      <x:c r="G99" s="1" t="s">
        <x:v>770</x:v>
      </x:c>
      <x:c r="H99" s="1" t="s">
        <x:v>19</x:v>
      </x:c>
      <x:c r="I99" s="1" t="s">
        <x:v>19</x:v>
      </x:c>
      <x:c r="J99" s="1" t="s">
        <x:v>19</x:v>
      </x:c>
      <x:c r="K99" s="1" t="s">
        <x:v>771</x:v>
      </x:c>
      <x:c r="L99" s="1" t="s">
        <x:v>772</x:v>
      </x:c>
      <x:c r="M99" s="1" t="s">
        <x:v>19</x:v>
      </x:c>
      <x:c r="N99" s="1" t="s">
        <x:v>19</x:v>
      </x:c>
      <x:c r="O99" s="1" t="s">
        <x:v>357</x:v>
      </x:c>
      <x:c r="P99" s="1" t="s">
        <x:v>19</x:v>
      </x:c>
    </x:row>
    <x:row r="100">
      <x:c r="A100" s="1" t="s">
        <x:v>773</x:v>
      </x:c>
      <x:c r="B100" s="1" t="s">
        <x:v>774</x:v>
      </x:c>
      <x:c r="C100" s="1" t="s">
        <x:v>775</x:v>
      </x:c>
      <x:c r="D100" s="1" t="s">
        <x:v>776</x:v>
      </x:c>
      <x:c r="E100" s="1" t="s">
        <x:v>777</x:v>
      </x:c>
      <x:c r="F100" s="1" t="s">
        <x:v>778</x:v>
      </x:c>
      <x:c r="G100" s="1" t="s">
        <x:v>19</x:v>
      </x:c>
      <x:c r="H100" s="1" t="s">
        <x:v>19</x:v>
      </x:c>
      <x:c r="I100" s="1" t="s">
        <x:v>19</x:v>
      </x:c>
      <x:c r="J100" s="1" t="s">
        <x:v>19</x:v>
      </x:c>
      <x:c r="K100" s="1" t="s">
        <x:v>779</x:v>
      </x:c>
      <x:c r="L100" s="1" t="s">
        <x:v>780</x:v>
      </x:c>
      <x:c r="M100" s="1" t="s">
        <x:v>19</x:v>
      </x:c>
      <x:c r="N100" s="1" t="s">
        <x:v>19</x:v>
      </x:c>
      <x:c r="O100" s="1" t="s">
        <x:v>380</x:v>
      </x:c>
      <x:c r="P100" s="1" t="s">
        <x:v>19</x:v>
      </x:c>
    </x:row>
    <x:row r="101">
      <x:c r="A101" s="1" t="s">
        <x:v>781</x:v>
      </x:c>
      <x:c r="B101" s="1" t="s">
        <x:v>782</x:v>
      </x:c>
      <x:c r="C101" s="1" t="s">
        <x:v>783</x:v>
      </x:c>
      <x:c r="D101" s="1" t="s">
        <x:v>784</x:v>
      </x:c>
      <x:c r="E101" s="1" t="s">
        <x:v>501</x:v>
      </x:c>
      <x:c r="F101" s="1" t="s">
        <x:v>785</x:v>
      </x:c>
      <x:c r="G101" s="1" t="s">
        <x:v>19</x:v>
      </x:c>
      <x:c r="H101" s="1" t="s">
        <x:v>19</x:v>
      </x:c>
      <x:c r="I101" s="1" t="s">
        <x:v>19</x:v>
      </x:c>
      <x:c r="J101" s="1" t="s">
        <x:v>19</x:v>
      </x:c>
      <x:c r="K101" s="1" t="s">
        <x:v>601</x:v>
      </x:c>
      <x:c r="L101" s="1" t="s">
        <x:v>140</x:v>
      </x:c>
      <x:c r="M101" s="1" t="s">
        <x:v>19</x:v>
      </x:c>
      <x:c r="N101" s="1" t="s">
        <x:v>19</x:v>
      </x:c>
      <x:c r="O101" s="1" t="s">
        <x:v>786</x:v>
      </x:c>
      <x:c r="P101" s="1" t="s">
        <x:v>19</x:v>
      </x:c>
    </x:row>
    <x:row r="102">
      <x:c r="A102" s="1" t="s">
        <x:v>787</x:v>
      </x:c>
      <x:c r="B102" s="1" t="s">
        <x:v>788</x:v>
      </x:c>
      <x:c r="C102" s="1" t="s">
        <x:v>649</x:v>
      </x:c>
      <x:c r="D102" s="1" t="s">
        <x:v>789</x:v>
      </x:c>
      <x:c r="E102" s="1" t="s">
        <x:v>790</x:v>
      </x:c>
      <x:c r="F102" s="1" t="s">
        <x:v>791</x:v>
      </x:c>
      <x:c r="G102" s="1" t="s">
        <x:v>19</x:v>
      </x:c>
      <x:c r="H102" s="1" t="s">
        <x:v>19</x:v>
      </x:c>
      <x:c r="I102" s="1" t="s">
        <x:v>19</x:v>
      </x:c>
      <x:c r="J102" s="1" t="s">
        <x:v>19</x:v>
      </x:c>
      <x:c r="K102" s="1" t="s">
        <x:v>792</x:v>
      </x:c>
      <x:c r="L102" s="1" t="s">
        <x:v>693</x:v>
      </x:c>
      <x:c r="M102" s="1" t="s">
        <x:v>19</x:v>
      </x:c>
      <x:c r="N102" s="1" t="s">
        <x:v>19</x:v>
      </x:c>
      <x:c r="O102" s="1" t="s">
        <x:v>398</x:v>
      </x:c>
      <x:c r="P102" s="1" t="s">
        <x:v>19</x:v>
      </x:c>
    </x:row>
    <x:row r="103">
      <x:c r="A103" s="1" t="s">
        <x:v>793</x:v>
      </x:c>
      <x:c r="B103" s="1" t="s">
        <x:v>794</x:v>
      </x:c>
      <x:c r="C103" s="1" t="s">
        <x:v>795</x:v>
      </x:c>
      <x:c r="D103" s="1" t="s">
        <x:v>796</x:v>
      </x:c>
      <x:c r="E103" s="1" t="s">
        <x:v>422</x:v>
      </x:c>
      <x:c r="F103" s="1" t="s">
        <x:v>797</x:v>
      </x:c>
      <x:c r="G103" s="1" t="s">
        <x:v>19</x:v>
      </x:c>
      <x:c r="H103" s="1" t="s">
        <x:v>19</x:v>
      </x:c>
      <x:c r="I103" s="1" t="s">
        <x:v>19</x:v>
      </x:c>
      <x:c r="J103" s="1" t="s">
        <x:v>19</x:v>
      </x:c>
      <x:c r="K103" s="1" t="s">
        <x:v>798</x:v>
      </x:c>
      <x:c r="L103" s="1" t="s">
        <x:v>799</x:v>
      </x:c>
      <x:c r="M103" s="1" t="s">
        <x:v>19</x:v>
      </x:c>
      <x:c r="N103" s="1" t="s">
        <x:v>19</x:v>
      </x:c>
      <x:c r="O103" s="1" t="s">
        <x:v>800</x:v>
      </x:c>
      <x:c r="P103" s="1" t="s">
        <x:v>19</x:v>
      </x:c>
    </x:row>
    <x:row r="104">
      <x:c r="A104" s="1" t="s">
        <x:v>801</x:v>
      </x:c>
      <x:c r="B104" s="1" t="s">
        <x:v>802</x:v>
      </x:c>
      <x:c r="C104" s="1" t="s">
        <x:v>803</x:v>
      </x:c>
      <x:c r="D104" s="1" t="s">
        <x:v>804</x:v>
      </x:c>
      <x:c r="E104" s="1" t="s">
        <x:v>805</x:v>
      </x:c>
      <x:c r="F104" s="1" t="s">
        <x:v>806</x:v>
      </x:c>
      <x:c r="G104" s="1" t="s">
        <x:v>19</x:v>
      </x:c>
      <x:c r="H104" s="1" t="s">
        <x:v>19</x:v>
      </x:c>
      <x:c r="I104" s="1" t="s">
        <x:v>19</x:v>
      </x:c>
      <x:c r="J104" s="1" t="s">
        <x:v>19</x:v>
      </x:c>
      <x:c r="K104" s="1" t="s">
        <x:v>807</x:v>
      </x:c>
      <x:c r="L104" s="1" t="s">
        <x:v>808</x:v>
      </x:c>
      <x:c r="M104" s="1" t="s">
        <x:v>19</x:v>
      </x:c>
      <x:c r="N104" s="1" t="s">
        <x:v>19</x:v>
      </x:c>
      <x:c r="O104" s="1" t="s">
        <x:v>809</x:v>
      </x:c>
      <x:c r="P104" s="1" t="s">
        <x:v>19</x:v>
      </x:c>
    </x:row>
    <x:row r="105">
      <x:c r="A105" s="1" t="s">
        <x:v>810</x:v>
      </x:c>
      <x:c r="B105" s="1" t="s">
        <x:v>811</x:v>
      </x:c>
      <x:c r="C105" s="1" t="s">
        <x:v>812</x:v>
      </x:c>
      <x:c r="D105" s="1" t="s">
        <x:v>804</x:v>
      </x:c>
      <x:c r="E105" s="1" t="s">
        <x:v>813</x:v>
      </x:c>
      <x:c r="F105" s="1" t="s">
        <x:v>814</x:v>
      </x:c>
      <x:c r="G105" s="1" t="s">
        <x:v>19</x:v>
      </x:c>
      <x:c r="H105" s="1" t="s">
        <x:v>19</x:v>
      </x:c>
      <x:c r="I105" s="1" t="s">
        <x:v>19</x:v>
      </x:c>
      <x:c r="J105" s="1" t="s">
        <x:v>19</x:v>
      </x:c>
      <x:c r="K105" s="1" t="s">
        <x:v>815</x:v>
      </x:c>
      <x:c r="L105" s="1" t="s">
        <x:v>140</x:v>
      </x:c>
      <x:c r="M105" s="1" t="s">
        <x:v>19</x:v>
      </x:c>
      <x:c r="N105" s="1" t="s">
        <x:v>19</x:v>
      </x:c>
      <x:c r="O105" s="1" t="s">
        <x:v>816</x:v>
      </x:c>
      <x:c r="P105" s="1" t="s">
        <x:v>19</x:v>
      </x:c>
    </x:row>
    <x:row r="106">
      <x:c r="A106" s="1" t="s">
        <x:v>817</x:v>
      </x:c>
      <x:c r="B106" s="1" t="s">
        <x:v>818</x:v>
      </x:c>
      <x:c r="C106" s="1" t="s">
        <x:v>235</x:v>
      </x:c>
      <x:c r="D106" s="1" t="s">
        <x:v>819</x:v>
      </x:c>
      <x:c r="E106" s="1" t="s">
        <x:v>820</x:v>
      </x:c>
      <x:c r="F106" s="1" t="s">
        <x:v>821</x:v>
      </x:c>
      <x:c r="G106" s="1" t="s">
        <x:v>19</x:v>
      </x:c>
      <x:c r="H106" s="1" t="s">
        <x:v>19</x:v>
      </x:c>
      <x:c r="I106" s="1" t="s">
        <x:v>19</x:v>
      </x:c>
      <x:c r="J106" s="1" t="s">
        <x:v>19</x:v>
      </x:c>
      <x:c r="K106" s="1" t="s">
        <x:v>822</x:v>
      </x:c>
      <x:c r="L106" s="1" t="s">
        <x:v>823</x:v>
      </x:c>
      <x:c r="M106" s="1" t="s">
        <x:v>19</x:v>
      </x:c>
      <x:c r="N106" s="1" t="s">
        <x:v>19</x:v>
      </x:c>
      <x:c r="O106" s="1" t="s">
        <x:v>824</x:v>
      </x:c>
      <x:c r="P106" s="1" t="s">
        <x:v>19</x:v>
      </x:c>
    </x:row>
    <x:row r="107">
      <x:c r="A107" s="1" t="s">
        <x:v>825</x:v>
      </x:c>
      <x:c r="B107" s="1" t="s">
        <x:v>826</x:v>
      </x:c>
      <x:c r="C107" s="1" t="s">
        <x:v>615</x:v>
      </x:c>
      <x:c r="D107" s="1" t="s">
        <x:v>819</x:v>
      </x:c>
      <x:c r="E107" s="1" t="s">
        <x:v>827</x:v>
      </x:c>
      <x:c r="F107" s="1" t="s">
        <x:v>828</x:v>
      </x:c>
      <x:c r="G107" s="1" t="s">
        <x:v>19</x:v>
      </x:c>
      <x:c r="H107" s="1" t="s">
        <x:v>19</x:v>
      </x:c>
      <x:c r="I107" s="1" t="s">
        <x:v>19</x:v>
      </x:c>
      <x:c r="J107" s="1" t="s">
        <x:v>19</x:v>
      </x:c>
      <x:c r="K107" s="1" t="s">
        <x:v>829</x:v>
      </x:c>
      <x:c r="L107" s="1" t="s">
        <x:v>830</x:v>
      </x:c>
      <x:c r="M107" s="1" t="s">
        <x:v>19</x:v>
      </x:c>
      <x:c r="N107" s="1" t="s">
        <x:v>19</x:v>
      </x:c>
      <x:c r="O107" s="1" t="s">
        <x:v>743</x:v>
      </x:c>
      <x:c r="P107" s="1" t="s">
        <x:v>19</x:v>
      </x:c>
    </x:row>
    <x:row r="108">
      <x:c r="A108" s="1" t="s">
        <x:v>831</x:v>
      </x:c>
      <x:c r="B108" s="1" t="s">
        <x:v>832</x:v>
      </x:c>
      <x:c r="C108" s="1" t="s">
        <x:v>833</x:v>
      </x:c>
      <x:c r="D108" s="1" t="s">
        <x:v>834</x:v>
      </x:c>
      <x:c r="E108" s="1" t="s">
        <x:v>835</x:v>
      </x:c>
      <x:c r="F108" s="1" t="s">
        <x:v>836</x:v>
      </x:c>
      <x:c r="G108" s="1" t="s">
        <x:v>19</x:v>
      </x:c>
      <x:c r="H108" s="1" t="s">
        <x:v>19</x:v>
      </x:c>
      <x:c r="I108" s="1" t="s">
        <x:v>19</x:v>
      </x:c>
      <x:c r="J108" s="1" t="s">
        <x:v>19</x:v>
      </x:c>
      <x:c r="K108" s="1" t="s">
        <x:v>837</x:v>
      </x:c>
      <x:c r="L108" s="1" t="s">
        <x:v>571</x:v>
      </x:c>
      <x:c r="M108" s="1" t="s">
        <x:v>19</x:v>
      </x:c>
      <x:c r="N108" s="1" t="s">
        <x:v>19</x:v>
      </x:c>
      <x:c r="O108" s="1" t="s">
        <x:v>322</x:v>
      </x:c>
      <x:c r="P108" s="1" t="s">
        <x:v>19</x:v>
      </x:c>
    </x:row>
    <x:row r="109">
      <x:c r="A109" s="1" t="s">
        <x:v>838</x:v>
      </x:c>
      <x:c r="B109" s="1" t="s">
        <x:v>839</x:v>
      </x:c>
      <x:c r="C109" s="1" t="s">
        <x:v>840</x:v>
      </x:c>
      <x:c r="D109" s="1" t="s">
        <x:v>841</x:v>
      </x:c>
      <x:c r="E109" s="1" t="s">
        <x:v>842</x:v>
      </x:c>
      <x:c r="F109" s="1" t="s">
        <x:v>843</x:v>
      </x:c>
      <x:c r="G109" s="1" t="s">
        <x:v>19</x:v>
      </x:c>
      <x:c r="H109" s="1" t="s">
        <x:v>19</x:v>
      </x:c>
      <x:c r="I109" s="1" t="s">
        <x:v>19</x:v>
      </x:c>
      <x:c r="J109" s="1" t="s">
        <x:v>19</x:v>
      </x:c>
      <x:c r="K109" s="1" t="s">
        <x:v>844</x:v>
      </x:c>
      <x:c r="L109" s="1" t="s">
        <x:v>570</x:v>
      </x:c>
      <x:c r="M109" s="1" t="s">
        <x:v>19</x:v>
      </x:c>
      <x:c r="N109" s="1" t="s">
        <x:v>19</x:v>
      </x:c>
      <x:c r="O109" s="1" t="s">
        <x:v>347</x:v>
      </x:c>
      <x:c r="P109" s="1" t="s">
        <x:v>19</x:v>
      </x:c>
    </x:row>
    <x:row r="110">
      <x:c r="A110" s="1" t="s">
        <x:v>845</x:v>
      </x:c>
      <x:c r="B110" s="1" t="s">
        <x:v>846</x:v>
      </x:c>
      <x:c r="C110" s="1" t="s">
        <x:v>847</x:v>
      </x:c>
      <x:c r="D110" s="1" t="s">
        <x:v>848</x:v>
      </x:c>
      <x:c r="E110" s="1" t="s">
        <x:v>849</x:v>
      </x:c>
      <x:c r="F110" s="1" t="s">
        <x:v>850</x:v>
      </x:c>
      <x:c r="G110" s="1" t="s">
        <x:v>19</x:v>
      </x:c>
      <x:c r="H110" s="1" t="s">
        <x:v>19</x:v>
      </x:c>
      <x:c r="I110" s="1" t="s">
        <x:v>19</x:v>
      </x:c>
      <x:c r="J110" s="1" t="s">
        <x:v>19</x:v>
      </x:c>
      <x:c r="K110" s="1" t="s">
        <x:v>851</x:v>
      </x:c>
      <x:c r="L110" s="1" t="s">
        <x:v>738</x:v>
      </x:c>
      <x:c r="M110" s="1" t="s">
        <x:v>19</x:v>
      </x:c>
      <x:c r="N110" s="1" t="s">
        <x:v>19</x:v>
      </x:c>
      <x:c r="O110" s="1" t="s">
        <x:v>400</x:v>
      </x:c>
      <x:c r="P110" s="1" t="s">
        <x:v>19</x:v>
      </x:c>
    </x:row>
    <x:row r="111">
      <x:c r="A111" s="1" t="s">
        <x:v>852</x:v>
      </x:c>
      <x:c r="B111" s="1" t="s">
        <x:v>853</x:v>
      </x:c>
      <x:c r="C111" s="1" t="s">
        <x:v>854</x:v>
      </x:c>
      <x:c r="D111" s="1" t="s">
        <x:v>855</x:v>
      </x:c>
      <x:c r="E111" s="1" t="s">
        <x:v>856</x:v>
      </x:c>
      <x:c r="F111" s="1" t="s">
        <x:v>857</x:v>
      </x:c>
      <x:c r="G111" s="1" t="s">
        <x:v>19</x:v>
      </x:c>
      <x:c r="H111" s="1" t="s">
        <x:v>19</x:v>
      </x:c>
      <x:c r="I111" s="1" t="s">
        <x:v>19</x:v>
      </x:c>
      <x:c r="J111" s="1" t="s">
        <x:v>19</x:v>
      </x:c>
      <x:c r="K111" s="1" t="s">
        <x:v>858</x:v>
      </x:c>
      <x:c r="L111" s="1" t="s">
        <x:v>577</x:v>
      </x:c>
      <x:c r="M111" s="1" t="s">
        <x:v>19</x:v>
      </x:c>
      <x:c r="N111" s="1" t="s">
        <x:v>19</x:v>
      </x:c>
      <x:c r="O111" s="1" t="s">
        <x:v>400</x:v>
      </x:c>
      <x:c r="P111" s="1" t="s">
        <x:v>19</x:v>
      </x:c>
    </x:row>
    <x:row r="112">
      <x:c r="A112" s="1" t="s">
        <x:v>859</x:v>
      </x:c>
      <x:c r="B112" s="1" t="s">
        <x:v>860</x:v>
      </x:c>
      <x:c r="C112" s="1" t="s">
        <x:v>861</x:v>
      </x:c>
      <x:c r="D112" s="1" t="s">
        <x:v>862</x:v>
      </x:c>
      <x:c r="E112" s="1" t="s">
        <x:v>863</x:v>
      </x:c>
      <x:c r="F112" s="1" t="s">
        <x:v>864</x:v>
      </x:c>
      <x:c r="G112" s="1" t="s">
        <x:v>19</x:v>
      </x:c>
      <x:c r="H112" s="1" t="s">
        <x:v>19</x:v>
      </x:c>
      <x:c r="I112" s="1" t="s">
        <x:v>19</x:v>
      </x:c>
      <x:c r="J112" s="1" t="s">
        <x:v>19</x:v>
      </x:c>
      <x:c r="K112" s="1" t="s">
        <x:v>865</x:v>
      </x:c>
      <x:c r="L112" s="1" t="s">
        <x:v>577</x:v>
      </x:c>
      <x:c r="M112" s="1" t="s">
        <x:v>19</x:v>
      </x:c>
      <x:c r="N112" s="1" t="s">
        <x:v>19</x:v>
      </x:c>
      <x:c r="O112" s="1" t="s">
        <x:v>356</x:v>
      </x:c>
      <x:c r="P112" s="1" t="s">
        <x:v>19</x:v>
      </x:c>
    </x:row>
    <x:row r="113">
      <x:c r="A113" s="1" t="s">
        <x:v>866</x:v>
      </x:c>
      <x:c r="B113" s="1" t="s">
        <x:v>867</x:v>
      </x:c>
      <x:c r="C113" s="1" t="s">
        <x:v>868</x:v>
      </x:c>
      <x:c r="D113" s="1" t="s">
        <x:v>869</x:v>
      </x:c>
      <x:c r="E113" s="1" t="s">
        <x:v>849</x:v>
      </x:c>
      <x:c r="F113" s="1" t="s">
        <x:v>870</x:v>
      </x:c>
      <x:c r="G113" s="1" t="s">
        <x:v>19</x:v>
      </x:c>
      <x:c r="H113" s="1" t="s">
        <x:v>19</x:v>
      </x:c>
      <x:c r="I113" s="1" t="s">
        <x:v>19</x:v>
      </x:c>
      <x:c r="J113" s="1" t="s">
        <x:v>19</x:v>
      </x:c>
      <x:c r="K113" s="1" t="s">
        <x:v>871</x:v>
      </x:c>
      <x:c r="L113" s="1" t="s">
        <x:v>872</x:v>
      </x:c>
      <x:c r="M113" s="1" t="s">
        <x:v>19</x:v>
      </x:c>
      <x:c r="N113" s="1" t="s">
        <x:v>19</x:v>
      </x:c>
      <x:c r="O113" s="1" t="s">
        <x:v>743</x:v>
      </x:c>
      <x:c r="P113" s="1" t="s">
        <x:v>19</x:v>
      </x:c>
    </x:row>
    <x:row r="114">
      <x:c r="A114" s="1" t="s">
        <x:v>873</x:v>
      </x:c>
      <x:c r="B114" s="1" t="s">
        <x:v>874</x:v>
      </x:c>
      <x:c r="C114" s="1" t="s">
        <x:v>875</x:v>
      </x:c>
      <x:c r="D114" s="1" t="s">
        <x:v>620</x:v>
      </x:c>
      <x:c r="E114" s="1" t="s">
        <x:v>863</x:v>
      </x:c>
      <x:c r="F114" s="1" t="s">
        <x:v>876</x:v>
      </x:c>
      <x:c r="G114" s="1" t="s">
        <x:v>19</x:v>
      </x:c>
      <x:c r="H114" s="1" t="s">
        <x:v>19</x:v>
      </x:c>
      <x:c r="I114" s="1" t="s">
        <x:v>19</x:v>
      </x:c>
      <x:c r="J114" s="1" t="s">
        <x:v>19</x:v>
      </x:c>
      <x:c r="K114" s="1" t="s">
        <x:v>865</x:v>
      </x:c>
      <x:c r="L114" s="1" t="s">
        <x:v>763</x:v>
      </x:c>
      <x:c r="M114" s="1" t="s">
        <x:v>19</x:v>
      </x:c>
      <x:c r="N114" s="1" t="s">
        <x:v>19</x:v>
      </x:c>
      <x:c r="O114" s="1" t="s">
        <x:v>786</x:v>
      </x:c>
      <x:c r="P114" s="1" t="s">
        <x:v>19</x:v>
      </x:c>
    </x:row>
    <x:row r="115">
      <x:c r="A115" s="1" t="s">
        <x:v>877</x:v>
      </x:c>
      <x:c r="B115" s="1" t="s">
        <x:v>878</x:v>
      </x:c>
      <x:c r="C115" s="1" t="s">
        <x:v>879</x:v>
      </x:c>
      <x:c r="D115" s="1" t="s">
        <x:v>639</x:v>
      </x:c>
      <x:c r="E115" s="1" t="s">
        <x:v>880</x:v>
      </x:c>
      <x:c r="F115" s="1" t="s">
        <x:v>881</x:v>
      </x:c>
      <x:c r="G115" s="1" t="s">
        <x:v>19</x:v>
      </x:c>
      <x:c r="H115" s="1" t="s">
        <x:v>19</x:v>
      </x:c>
      <x:c r="I115" s="1" t="s">
        <x:v>19</x:v>
      </x:c>
      <x:c r="J115" s="1" t="s">
        <x:v>19</x:v>
      </x:c>
      <x:c r="K115" s="1" t="s">
        <x:v>882</x:v>
      </x:c>
      <x:c r="L115" s="1" t="s">
        <x:v>883</x:v>
      </x:c>
      <x:c r="M115" s="1" t="s">
        <x:v>19</x:v>
      </x:c>
      <x:c r="N115" s="1" t="s">
        <x:v>19</x:v>
      </x:c>
      <x:c r="O115" s="1" t="s">
        <x:v>824</x:v>
      </x:c>
      <x:c r="P115" s="1" t="s">
        <x:v>19</x:v>
      </x:c>
    </x:row>
    <x:row r="116">
      <x:c r="A116" s="1" t="s">
        <x:v>884</x:v>
      </x:c>
      <x:c r="B116" s="1" t="s">
        <x:v>885</x:v>
      </x:c>
      <x:c r="C116" s="1" t="s">
        <x:v>886</x:v>
      </x:c>
      <x:c r="D116" s="1" t="s">
        <x:v>887</x:v>
      </x:c>
      <x:c r="E116" s="1" t="s">
        <x:v>888</x:v>
      </x:c>
      <x:c r="F116" s="1" t="s">
        <x:v>889</x:v>
      </x:c>
      <x:c r="G116" s="1" t="s">
        <x:v>19</x:v>
      </x:c>
      <x:c r="H116" s="1" t="s">
        <x:v>19</x:v>
      </x:c>
      <x:c r="I116" s="1" t="s">
        <x:v>19</x:v>
      </x:c>
      <x:c r="J116" s="1" t="s">
        <x:v>19</x:v>
      </x:c>
      <x:c r="K116" s="1" t="s">
        <x:v>890</x:v>
      </x:c>
      <x:c r="L116" s="1" t="s">
        <x:v>891</x:v>
      </x:c>
      <x:c r="M116" s="1" t="s">
        <x:v>19</x:v>
      </x:c>
      <x:c r="N116" s="1" t="s">
        <x:v>19</x:v>
      </x:c>
      <x:c r="O116" s="1" t="s">
        <x:v>760</x:v>
      </x:c>
      <x:c r="P116" s="1" t="s">
        <x:v>19</x:v>
      </x:c>
    </x:row>
    <x:row r="117">
      <x:c r="A117" s="1" t="s">
        <x:v>892</x:v>
      </x:c>
      <x:c r="B117" s="1" t="s">
        <x:v>893</x:v>
      </x:c>
      <x:c r="C117" s="1" t="s">
        <x:v>894</x:v>
      </x:c>
      <x:c r="D117" s="1" t="s">
        <x:v>895</x:v>
      </x:c>
      <x:c r="E117" s="1" t="s">
        <x:v>896</x:v>
      </x:c>
      <x:c r="F117" s="1" t="s">
        <x:v>897</x:v>
      </x:c>
      <x:c r="G117" s="1" t="s">
        <x:v>19</x:v>
      </x:c>
      <x:c r="H117" s="1" t="s">
        <x:v>19</x:v>
      </x:c>
      <x:c r="I117" s="1" t="s">
        <x:v>19</x:v>
      </x:c>
      <x:c r="J117" s="1" t="s">
        <x:v>19</x:v>
      </x:c>
      <x:c r="K117" s="1" t="s">
        <x:v>898</x:v>
      </x:c>
      <x:c r="L117" s="1" t="s">
        <x:v>725</x:v>
      </x:c>
      <x:c r="M117" s="1" t="s">
        <x:v>19</x:v>
      </x:c>
      <x:c r="N117" s="1" t="s">
        <x:v>19</x:v>
      </x:c>
      <x:c r="O117" s="1" t="s">
        <x:v>760</x:v>
      </x:c>
      <x:c r="P117" s="1" t="s">
        <x:v>19</x:v>
      </x:c>
    </x:row>
    <x:row r="118">
      <x:c r="A118" s="1" t="s">
        <x:v>899</x:v>
      </x:c>
      <x:c r="B118" s="1" t="s">
        <x:v>900</x:v>
      </x:c>
      <x:c r="C118" s="1" t="s">
        <x:v>58</x:v>
      </x:c>
      <x:c r="D118" s="1" t="s">
        <x:v>901</x:v>
      </x:c>
      <x:c r="E118" s="1" t="s">
        <x:v>842</x:v>
      </x:c>
      <x:c r="F118" s="1" t="s">
        <x:v>902</x:v>
      </x:c>
      <x:c r="G118" s="1" t="s">
        <x:v>19</x:v>
      </x:c>
      <x:c r="H118" s="1" t="s">
        <x:v>19</x:v>
      </x:c>
      <x:c r="I118" s="1" t="s">
        <x:v>19</x:v>
      </x:c>
      <x:c r="J118" s="1" t="s">
        <x:v>19</x:v>
      </x:c>
      <x:c r="K118" s="1" t="s">
        <x:v>903</x:v>
      </x:c>
      <x:c r="L118" s="1" t="s">
        <x:v>586</x:v>
      </x:c>
      <x:c r="M118" s="1" t="s">
        <x:v>19</x:v>
      </x:c>
      <x:c r="N118" s="1" t="s">
        <x:v>19</x:v>
      </x:c>
      <x:c r="O118" s="1" t="s">
        <x:v>786</x:v>
      </x:c>
      <x:c r="P118" s="1" t="s">
        <x:v>19</x:v>
      </x:c>
    </x:row>
    <x:row r="119">
      <x:c r="A119" s="1" t="s">
        <x:v>904</x:v>
      </x:c>
      <x:c r="B119" s="1" t="s">
        <x:v>832</x:v>
      </x:c>
      <x:c r="C119" s="1" t="s">
        <x:v>905</x:v>
      </x:c>
      <x:c r="D119" s="1" t="s">
        <x:v>906</x:v>
      </x:c>
      <x:c r="E119" s="1" t="s">
        <x:v>907</x:v>
      </x:c>
      <x:c r="F119" s="1" t="s">
        <x:v>908</x:v>
      </x:c>
      <x:c r="G119" s="1" t="s">
        <x:v>19</x:v>
      </x:c>
      <x:c r="H119" s="1" t="s">
        <x:v>19</x:v>
      </x:c>
      <x:c r="I119" s="1" t="s">
        <x:v>19</x:v>
      </x:c>
      <x:c r="J119" s="1" t="s">
        <x:v>19</x:v>
      </x:c>
      <x:c r="K119" s="1" t="s">
        <x:v>538</x:v>
      </x:c>
      <x:c r="L119" s="1" t="s">
        <x:v>755</x:v>
      </x:c>
      <x:c r="M119" s="1" t="s">
        <x:v>19</x:v>
      </x:c>
      <x:c r="N119" s="1" t="s">
        <x:v>19</x:v>
      </x:c>
      <x:c r="O119" s="1" t="s">
        <x:v>322</x:v>
      </x:c>
      <x:c r="P119" s="1" t="s">
        <x:v>19</x:v>
      </x:c>
    </x:row>
    <x:row r="120">
      <x:c r="A120" s="1" t="s">
        <x:v>909</x:v>
      </x:c>
      <x:c r="B120" s="1" t="s">
        <x:v>910</x:v>
      </x:c>
      <x:c r="C120" s="1" t="s">
        <x:v>911</x:v>
      </x:c>
      <x:c r="D120" s="1" t="s">
        <x:v>912</x:v>
      </x:c>
      <x:c r="E120" s="1" t="s">
        <x:v>913</x:v>
      </x:c>
      <x:c r="F120" s="1" t="s">
        <x:v>914</x:v>
      </x:c>
      <x:c r="G120" s="1" t="s">
        <x:v>19</x:v>
      </x:c>
      <x:c r="H120" s="1" t="s">
        <x:v>19</x:v>
      </x:c>
      <x:c r="I120" s="1" t="s">
        <x:v>19</x:v>
      </x:c>
      <x:c r="J120" s="1" t="s">
        <x:v>19</x:v>
      </x:c>
      <x:c r="K120" s="1" t="s">
        <x:v>690</x:v>
      </x:c>
      <x:c r="L120" s="1" t="s">
        <x:v>556</x:v>
      </x:c>
      <x:c r="M120" s="1" t="s">
        <x:v>19</x:v>
      </x:c>
      <x:c r="N120" s="1" t="s">
        <x:v>19</x:v>
      </x:c>
      <x:c r="O120" s="1" t="s">
        <x:v>385</x:v>
      </x:c>
      <x:c r="P120" s="1" t="s">
        <x:v>19</x:v>
      </x:c>
    </x:row>
    <x:row r="121">
      <x:c r="A121" s="1" t="s">
        <x:v>915</x:v>
      </x:c>
      <x:c r="B121" s="1" t="s">
        <x:v>916</x:v>
      </x:c>
      <x:c r="C121" s="1" t="s">
        <x:v>917</x:v>
      </x:c>
      <x:c r="D121" s="1" t="s">
        <x:v>918</x:v>
      </x:c>
      <x:c r="E121" s="1" t="s">
        <x:v>919</x:v>
      </x:c>
      <x:c r="F121" s="1" t="s">
        <x:v>920</x:v>
      </x:c>
      <x:c r="G121" s="1" t="s">
        <x:v>19</x:v>
      </x:c>
      <x:c r="H121" s="1" t="s">
        <x:v>19</x:v>
      </x:c>
      <x:c r="I121" s="1" t="s">
        <x:v>19</x:v>
      </x:c>
      <x:c r="J121" s="1" t="s">
        <x:v>19</x:v>
      </x:c>
      <x:c r="K121" s="1" t="s">
        <x:v>538</x:v>
      </x:c>
      <x:c r="L121" s="1" t="s">
        <x:v>921</x:v>
      </x:c>
      <x:c r="M121" s="1" t="s">
        <x:v>19</x:v>
      </x:c>
      <x:c r="N121" s="1" t="s">
        <x:v>19</x:v>
      </x:c>
      <x:c r="O121" s="1" t="s">
        <x:v>743</x:v>
      </x:c>
      <x:c r="P121" s="1" t="s">
        <x:v>19</x:v>
      </x:c>
    </x:row>
    <x:row r="122">
      <x:c r="A122" s="1" t="s">
        <x:v>922</x:v>
      </x:c>
      <x:c r="B122" s="1" t="s">
        <x:v>923</x:v>
      </x:c>
      <x:c r="C122" s="1" t="s">
        <x:v>924</x:v>
      </x:c>
      <x:c r="D122" s="1" t="s">
        <x:v>625</x:v>
      </x:c>
      <x:c r="E122" s="1" t="s">
        <x:v>659</x:v>
      </x:c>
      <x:c r="F122" s="1" t="s">
        <x:v>925</x:v>
      </x:c>
      <x:c r="G122" s="1" t="s">
        <x:v>19</x:v>
      </x:c>
      <x:c r="H122" s="1" t="s">
        <x:v>19</x:v>
      </x:c>
      <x:c r="I122" s="1" t="s">
        <x:v>19</x:v>
      </x:c>
      <x:c r="J122" s="1" t="s">
        <x:v>19</x:v>
      </x:c>
      <x:c r="K122" s="1" t="s">
        <x:v>898</x:v>
      </x:c>
      <x:c r="L122" s="1" t="s">
        <x:v>926</x:v>
      </x:c>
      <x:c r="M122" s="1" t="s">
        <x:v>19</x:v>
      </x:c>
      <x:c r="N122" s="1" t="s">
        <x:v>19</x:v>
      </x:c>
      <x:c r="O122" s="1" t="s">
        <x:v>377</x:v>
      </x:c>
      <x:c r="P122" s="1" t="s">
        <x:v>19</x:v>
      </x:c>
    </x:row>
    <x:row r="123">
      <x:c r="A123" s="1" t="s">
        <x:v>927</x:v>
      </x:c>
      <x:c r="B123" s="1" t="s">
        <x:v>928</x:v>
      </x:c>
      <x:c r="C123" s="1" t="s">
        <x:v>929</x:v>
      </x:c>
      <x:c r="D123" s="1" t="s">
        <x:v>584</x:v>
      </x:c>
      <x:c r="E123" s="1" t="s">
        <x:v>930</x:v>
      </x:c>
      <x:c r="F123" s="1" t="s">
        <x:v>931</x:v>
      </x:c>
      <x:c r="G123" s="1" t="s">
        <x:v>19</x:v>
      </x:c>
      <x:c r="H123" s="1" t="s">
        <x:v>19</x:v>
      </x:c>
      <x:c r="I123" s="1" t="s">
        <x:v>19</x:v>
      </x:c>
      <x:c r="J123" s="1" t="s">
        <x:v>19</x:v>
      </x:c>
      <x:c r="K123" s="1" t="s">
        <x:v>871</x:v>
      </x:c>
      <x:c r="L123" s="1" t="s">
        <x:v>932</x:v>
      </x:c>
      <x:c r="M123" s="1" t="s">
        <x:v>19</x:v>
      </x:c>
      <x:c r="N123" s="1" t="s">
        <x:v>19</x:v>
      </x:c>
      <x:c r="O123" s="1" t="s">
        <x:v>933</x:v>
      </x:c>
      <x:c r="P123" s="1" t="s">
        <x:v>19</x:v>
      </x:c>
    </x:row>
    <x:row r="124">
      <x:c r="A124" s="1" t="s">
        <x:v>934</x:v>
      </x:c>
      <x:c r="B124" s="1" t="s">
        <x:v>935</x:v>
      </x:c>
      <x:c r="C124" s="1" t="s">
        <x:v>936</x:v>
      </x:c>
      <x:c r="D124" s="1" t="s">
        <x:v>937</x:v>
      </x:c>
      <x:c r="E124" s="1" t="s">
        <x:v>938</x:v>
      </x:c>
      <x:c r="F124" s="1" t="s">
        <x:v>939</x:v>
      </x:c>
      <x:c r="G124" s="1" t="s">
        <x:v>19</x:v>
      </x:c>
      <x:c r="H124" s="1" t="s">
        <x:v>19</x:v>
      </x:c>
      <x:c r="I124" s="1" t="s">
        <x:v>19</x:v>
      </x:c>
      <x:c r="J124" s="1" t="s">
        <x:v>19</x:v>
      </x:c>
      <x:c r="K124" s="1" t="s">
        <x:v>672</x:v>
      </x:c>
      <x:c r="L124" s="1" t="s">
        <x:v>940</x:v>
      </x:c>
      <x:c r="M124" s="1" t="s">
        <x:v>19</x:v>
      </x:c>
      <x:c r="N124" s="1" t="s">
        <x:v>19</x:v>
      </x:c>
      <x:c r="O124" s="1" t="s">
        <x:v>941</x:v>
      </x:c>
      <x:c r="P124" s="1" t="s">
        <x:v>19</x:v>
      </x:c>
    </x:row>
    <x:row r="125">
      <x:c r="A125" s="1" t="s">
        <x:v>942</x:v>
      </x:c>
      <x:c r="B125" s="1" t="s">
        <x:v>943</x:v>
      </x:c>
      <x:c r="C125" s="1" t="s">
        <x:v>944</x:v>
      </x:c>
      <x:c r="D125" s="1" t="s">
        <x:v>945</x:v>
      </x:c>
      <x:c r="E125" s="1" t="s">
        <x:v>882</x:v>
      </x:c>
      <x:c r="F125" s="1" t="s">
        <x:v>946</x:v>
      </x:c>
      <x:c r="G125" s="1" t="s">
        <x:v>19</x:v>
      </x:c>
      <x:c r="H125" s="1" t="s">
        <x:v>19</x:v>
      </x:c>
      <x:c r="I125" s="1" t="s">
        <x:v>19</x:v>
      </x:c>
      <x:c r="J125" s="1" t="s">
        <x:v>19</x:v>
      </x:c>
      <x:c r="K125" s="1" t="s">
        <x:v>561</x:v>
      </x:c>
      <x:c r="L125" s="1" t="s">
        <x:v>947</x:v>
      </x:c>
      <x:c r="M125" s="1" t="s">
        <x:v>19</x:v>
      </x:c>
      <x:c r="N125" s="1" t="s">
        <x:v>19</x:v>
      </x:c>
      <x:c r="O125" s="1" t="s">
        <x:v>816</x:v>
      </x:c>
      <x:c r="P125" s="1" t="s">
        <x:v>19</x:v>
      </x:c>
    </x:row>
    <x:row r="126">
      <x:c r="A126" s="1" t="s">
        <x:v>948</x:v>
      </x:c>
      <x:c r="B126" s="1" t="s">
        <x:v>949</x:v>
      </x:c>
      <x:c r="C126" s="1" t="s">
        <x:v>950</x:v>
      </x:c>
      <x:c r="D126" s="1" t="s">
        <x:v>951</x:v>
      </x:c>
      <x:c r="E126" s="1" t="s">
        <x:v>952</x:v>
      </x:c>
      <x:c r="F126" s="1" t="s">
        <x:v>953</x:v>
      </x:c>
      <x:c r="G126" s="1" t="s">
        <x:v>19</x:v>
      </x:c>
      <x:c r="H126" s="1" t="s">
        <x:v>19</x:v>
      </x:c>
      <x:c r="I126" s="1" t="s">
        <x:v>19</x:v>
      </x:c>
      <x:c r="J126" s="1" t="s">
        <x:v>19</x:v>
      </x:c>
      <x:c r="K126" s="1" t="s">
        <x:v>865</x:v>
      </x:c>
      <x:c r="L126" s="1" t="s">
        <x:v>132</x:v>
      </x:c>
      <x:c r="M126" s="1" t="s">
        <x:v>19</x:v>
      </x:c>
      <x:c r="N126" s="1" t="s">
        <x:v>19</x:v>
      </x:c>
      <x:c r="O126" s="1" t="s">
        <x:v>954</x:v>
      </x:c>
      <x:c r="P126" s="1" t="s">
        <x:v>19</x:v>
      </x:c>
    </x:row>
    <x:row r="127">
      <x:c r="A127" s="1" t="s">
        <x:v>955</x:v>
      </x:c>
      <x:c r="B127" s="1" t="s">
        <x:v>956</x:v>
      </x:c>
      <x:c r="C127" s="1" t="s">
        <x:v>957</x:v>
      </x:c>
      <x:c r="D127" s="1" t="s">
        <x:v>958</x:v>
      </x:c>
      <x:c r="E127" s="1" t="s">
        <x:v>545</x:v>
      </x:c>
      <x:c r="F127" s="1" t="s">
        <x:v>959</x:v>
      </x:c>
      <x:c r="G127" s="1" t="s">
        <x:v>19</x:v>
      </x:c>
      <x:c r="H127" s="1" t="s">
        <x:v>19</x:v>
      </x:c>
      <x:c r="I127" s="1" t="s">
        <x:v>19</x:v>
      </x:c>
      <x:c r="J127" s="1" t="s">
        <x:v>19</x:v>
      </x:c>
      <x:c r="K127" s="1" t="s">
        <x:v>952</x:v>
      </x:c>
      <x:c r="L127" s="1" t="s">
        <x:v>960</x:v>
      </x:c>
      <x:c r="M127" s="1" t="s">
        <x:v>19</x:v>
      </x:c>
      <x:c r="N127" s="1" t="s">
        <x:v>19</x:v>
      </x:c>
      <x:c r="O127" s="1" t="s">
        <x:v>961</x:v>
      </x:c>
      <x:c r="P127" s="1" t="s">
        <x:v>19</x:v>
      </x:c>
    </x:row>
    <x:row r="128">
      <x:c r="A128" s="1" t="s">
        <x:v>962</x:v>
      </x:c>
      <x:c r="B128" s="1" t="s">
        <x:v>963</x:v>
      </x:c>
      <x:c r="C128" s="1" t="s">
        <x:v>964</x:v>
      </x:c>
      <x:c r="D128" s="1" t="s">
        <x:v>965</x:v>
      </x:c>
      <x:c r="E128" s="1" t="s">
        <x:v>698</x:v>
      </x:c>
      <x:c r="F128" s="1" t="s">
        <x:v>966</x:v>
      </x:c>
      <x:c r="G128" s="1" t="s">
        <x:v>19</x:v>
      </x:c>
      <x:c r="H128" s="1" t="s">
        <x:v>19</x:v>
      </x:c>
      <x:c r="I128" s="1" t="s">
        <x:v>19</x:v>
      </x:c>
      <x:c r="J128" s="1" t="s">
        <x:v>19</x:v>
      </x:c>
      <x:c r="K128" s="1" t="s">
        <x:v>882</x:v>
      </x:c>
      <x:c r="L128" s="1" t="s">
        <x:v>297</x:v>
      </x:c>
      <x:c r="M128" s="1" t="s">
        <x:v>19</x:v>
      </x:c>
      <x:c r="N128" s="1" t="s">
        <x:v>19</x:v>
      </x:c>
      <x:c r="O128" s="1" t="s">
        <x:v>967</x:v>
      </x:c>
      <x:c r="P128" s="1" t="s">
        <x:v>19</x:v>
      </x:c>
    </x:row>
    <x:row r="129">
      <x:c r="A129" s="1" t="s">
        <x:v>968</x:v>
      </x:c>
      <x:c r="B129" s="1" t="s">
        <x:v>969</x:v>
      </x:c>
      <x:c r="C129" s="1" t="s">
        <x:v>970</x:v>
      </x:c>
      <x:c r="D129" s="1" t="s">
        <x:v>697</x:v>
      </x:c>
      <x:c r="E129" s="1" t="s">
        <x:v>790</x:v>
      </x:c>
      <x:c r="F129" s="1" t="s">
        <x:v>133</x:v>
      </x:c>
      <x:c r="G129" s="1" t="s">
        <x:v>19</x:v>
      </x:c>
      <x:c r="H129" s="1" t="s">
        <x:v>19</x:v>
      </x:c>
      <x:c r="I129" s="1" t="s">
        <x:v>19</x:v>
      </x:c>
      <x:c r="J129" s="1" t="s">
        <x:v>258</x:v>
      </x:c>
      <x:c r="K129" s="1" t="s">
        <x:v>971</x:v>
      </x:c>
      <x:c r="L129" s="1" t="s">
        <x:v>210</x:v>
      </x:c>
      <x:c r="M129" s="1" t="s">
        <x:v>19</x:v>
      </x:c>
      <x:c r="N129" s="1" t="s">
        <x:v>19</x:v>
      </x:c>
      <x:c r="O129" s="1" t="s">
        <x:v>972</x:v>
      </x:c>
      <x:c r="P129" s="1" t="s">
        <x:v>19</x:v>
      </x:c>
    </x:row>
    <x:row r="130">
      <x:c r="A130" s="1" t="s">
        <x:v>973</x:v>
      </x:c>
      <x:c r="B130" s="1" t="s">
        <x:v>974</x:v>
      </x:c>
      <x:c r="C130" s="1" t="s">
        <x:v>975</x:v>
      </x:c>
      <x:c r="D130" s="1" t="s">
        <x:v>976</x:v>
      </x:c>
      <x:c r="E130" s="1" t="s">
        <x:v>468</x:v>
      </x:c>
      <x:c r="F130" s="1" t="s">
        <x:v>977</x:v>
      </x:c>
      <x:c r="G130" s="1" t="s">
        <x:v>19</x:v>
      </x:c>
      <x:c r="H130" s="1" t="s">
        <x:v>19</x:v>
      </x:c>
      <x:c r="I130" s="1" t="s">
        <x:v>19</x:v>
      </x:c>
      <x:c r="J130" s="1" t="s">
        <x:v>978</x:v>
      </x:c>
      <x:c r="K130" s="1" t="s">
        <x:v>913</x:v>
      </x:c>
      <x:c r="L130" s="1" t="s">
        <x:v>125</x:v>
      </x:c>
      <x:c r="M130" s="1" t="s">
        <x:v>19</x:v>
      </x:c>
      <x:c r="N130" s="1" t="s">
        <x:v>19</x:v>
      </x:c>
      <x:c r="O130" s="1" t="s">
        <x:v>745</x:v>
      </x:c>
      <x:c r="P130" s="1" t="s">
        <x:v>19</x:v>
      </x:c>
    </x:row>
    <x:row r="131">
      <x:c r="A131" s="1" t="s">
        <x:v>979</x:v>
      </x:c>
      <x:c r="B131" s="1" t="s">
        <x:v>980</x:v>
      </x:c>
      <x:c r="C131" s="1" t="s">
        <x:v>981</x:v>
      </x:c>
      <x:c r="D131" s="1" t="s">
        <x:v>982</x:v>
      </x:c>
      <x:c r="E131" s="1" t="s">
        <x:v>612</x:v>
      </x:c>
      <x:c r="F131" s="1" t="s">
        <x:v>983</x:v>
      </x:c>
      <x:c r="G131" s="1" t="s">
        <x:v>19</x:v>
      </x:c>
      <x:c r="H131" s="1" t="s">
        <x:v>19</x:v>
      </x:c>
      <x:c r="I131" s="1" t="s">
        <x:v>19</x:v>
      </x:c>
      <x:c r="J131" s="1" t="s">
        <x:v>272</x:v>
      </x:c>
      <x:c r="K131" s="1" t="s">
        <x:v>913</x:v>
      </x:c>
      <x:c r="L131" s="1" t="s">
        <x:v>233</x:v>
      </x:c>
      <x:c r="M131" s="1" t="s">
        <x:v>19</x:v>
      </x:c>
      <x:c r="N131" s="1" t="s">
        <x:v>19</x:v>
      </x:c>
      <x:c r="O131" s="1" t="s">
        <x:v>683</x:v>
      </x:c>
      <x:c r="P131" s="1" t="s">
        <x:v>19</x:v>
      </x:c>
    </x:row>
    <x:row r="132">
      <x:c r="A132" s="1" t="s">
        <x:v>984</x:v>
      </x:c>
      <x:c r="B132" s="1" t="s">
        <x:v>985</x:v>
      </x:c>
      <x:c r="C132" s="1" t="s">
        <x:v>986</x:v>
      </x:c>
      <x:c r="D132" s="1" t="s">
        <x:v>987</x:v>
      </x:c>
      <x:c r="E132" s="1" t="s">
        <x:v>988</x:v>
      </x:c>
      <x:c r="F132" s="1" t="s">
        <x:v>989</x:v>
      </x:c>
      <x:c r="G132" s="1" t="s">
        <x:v>19</x:v>
      </x:c>
      <x:c r="H132" s="1" t="s">
        <x:v>19</x:v>
      </x:c>
      <x:c r="I132" s="1" t="s">
        <x:v>19</x:v>
      </x:c>
      <x:c r="J132" s="1" t="s">
        <x:v>272</x:v>
      </x:c>
      <x:c r="K132" s="1" t="s">
        <x:v>600</x:v>
      </x:c>
      <x:c r="L132" s="1" t="s">
        <x:v>990</x:v>
      </x:c>
      <x:c r="M132" s="1" t="s">
        <x:v>19</x:v>
      </x:c>
      <x:c r="N132" s="1" t="s">
        <x:v>19</x:v>
      </x:c>
      <x:c r="O132" s="1" t="s">
        <x:v>991</x:v>
      </x:c>
      <x:c r="P132" s="1" t="s">
        <x:v>19</x:v>
      </x:c>
    </x:row>
    <x:row r="133">
      <x:c r="A133" s="1" t="s">
        <x:v>992</x:v>
      </x:c>
      <x:c r="B133" s="1" t="s">
        <x:v>993</x:v>
      </x:c>
      <x:c r="C133" s="1" t="s">
        <x:v>994</x:v>
      </x:c>
      <x:c r="D133" s="1" t="s">
        <x:v>995</x:v>
      </x:c>
      <x:c r="E133" s="1" t="s">
        <x:v>347</x:v>
      </x:c>
      <x:c r="F133" s="1" t="s">
        <x:v>996</x:v>
      </x:c>
      <x:c r="G133" s="1" t="s">
        <x:v>19</x:v>
      </x:c>
      <x:c r="H133" s="1" t="s">
        <x:v>19</x:v>
      </x:c>
      <x:c r="I133" s="1" t="s">
        <x:v>19</x:v>
      </x:c>
      <x:c r="J133" s="1" t="s">
        <x:v>125</x:v>
      </x:c>
      <x:c r="K133" s="1" t="s">
        <x:v>761</x:v>
      </x:c>
      <x:c r="L133" s="1" t="s">
        <x:v>197</x:v>
      </x:c>
      <x:c r="M133" s="1" t="s">
        <x:v>19</x:v>
      </x:c>
      <x:c r="N133" s="1" t="s">
        <x:v>19</x:v>
      </x:c>
      <x:c r="O133" s="1" t="s">
        <x:v>997</x:v>
      </x:c>
      <x:c r="P133" s="1" t="s">
        <x:v>19</x:v>
      </x:c>
    </x:row>
    <x:row r="134">
      <x:c r="A134" s="1" t="s">
        <x:v>998</x:v>
      </x:c>
      <x:c r="B134" s="1" t="s">
        <x:v>999</x:v>
      </x:c>
      <x:c r="C134" s="1" t="s">
        <x:v>1000</x:v>
      </x:c>
      <x:c r="D134" s="1" t="s">
        <x:v>1001</x:v>
      </x:c>
      <x:c r="E134" s="1" t="s">
        <x:v>371</x:v>
      </x:c>
      <x:c r="F134" s="1" t="s">
        <x:v>1002</x:v>
      </x:c>
      <x:c r="G134" s="1" t="s">
        <x:v>19</x:v>
      </x:c>
      <x:c r="H134" s="1" t="s">
        <x:v>19</x:v>
      </x:c>
      <x:c r="I134" s="1" t="s">
        <x:v>19</x:v>
      </x:c>
      <x:c r="J134" s="1" t="s">
        <x:v>210</x:v>
      </x:c>
      <x:c r="K134" s="1" t="s">
        <x:v>1003</x:v>
      </x:c>
      <x:c r="L134" s="1" t="s">
        <x:v>157</x:v>
      </x:c>
      <x:c r="M134" s="1" t="s">
        <x:v>19</x:v>
      </x:c>
      <x:c r="N134" s="1" t="s">
        <x:v>19</x:v>
      </x:c>
      <x:c r="O134" s="1" t="s">
        <x:v>1004</x:v>
      </x:c>
      <x:c r="P134" s="1" t="s">
        <x:v>19</x:v>
      </x:c>
    </x:row>
    <x:row r="135">
      <x:c r="A135" s="1" t="s">
        <x:v>1005</x:v>
      </x:c>
      <x:c r="B135" s="1" t="s">
        <x:v>1006</x:v>
      </x:c>
      <x:c r="C135" s="1" t="s">
        <x:v>1007</x:v>
      </x:c>
      <x:c r="D135" s="1" t="s">
        <x:v>1008</x:v>
      </x:c>
      <x:c r="E135" s="1" t="s">
        <x:v>357</x:v>
      </x:c>
      <x:c r="F135" s="1" t="s">
        <x:v>1009</x:v>
      </x:c>
      <x:c r="G135" s="1" t="s">
        <x:v>19</x:v>
      </x:c>
      <x:c r="H135" s="1" t="s">
        <x:v>19</x:v>
      </x:c>
      <x:c r="I135" s="1" t="s">
        <x:v>19</x:v>
      </x:c>
      <x:c r="J135" s="1" t="s">
        <x:v>210</x:v>
      </x:c>
      <x:c r="K135" s="1" t="s">
        <x:v>1010</x:v>
      </x:c>
      <x:c r="L135" s="1" t="s">
        <x:v>611</x:v>
      </x:c>
      <x:c r="M135" s="1" t="s">
        <x:v>19</x:v>
      </x:c>
      <x:c r="N135" s="1" t="s">
        <x:v>19</x:v>
      </x:c>
      <x:c r="O135" s="1" t="s">
        <x:v>675</x:v>
      </x:c>
      <x:c r="P135" s="1" t="s">
        <x:v>19</x:v>
      </x:c>
    </x:row>
    <x:row r="136">
      <x:c r="A136" s="1" t="s">
        <x:v>1011</x:v>
      </x:c>
      <x:c r="B136" s="1" t="s">
        <x:v>1012</x:v>
      </x:c>
      <x:c r="C136" s="1" t="s">
        <x:v>1013</x:v>
      </x:c>
      <x:c r="D136" s="1" t="s">
        <x:v>1014</x:v>
      </x:c>
      <x:c r="E136" s="1" t="s">
        <x:v>424</x:v>
      </x:c>
      <x:c r="F136" s="1" t="s">
        <x:v>1015</x:v>
      </x:c>
      <x:c r="G136" s="1" t="s">
        <x:v>19</x:v>
      </x:c>
      <x:c r="H136" s="1" t="s">
        <x:v>19</x:v>
      </x:c>
      <x:c r="I136" s="1" t="s">
        <x:v>19</x:v>
      </x:c>
      <x:c r="J136" s="1" t="s">
        <x:v>204</x:v>
      </x:c>
      <x:c r="K136" s="1" t="s">
        <x:v>1016</x:v>
      </x:c>
      <x:c r="L136" s="1" t="s">
        <x:v>24</x:v>
      </x:c>
      <x:c r="M136" s="1" t="s">
        <x:v>19</x:v>
      </x:c>
      <x:c r="N136" s="1" t="s">
        <x:v>19</x:v>
      </x:c>
      <x:c r="O136" s="1" t="s">
        <x:v>1017</x:v>
      </x:c>
      <x:c r="P136" s="1" t="s">
        <x:v>19</x:v>
      </x:c>
    </x:row>
    <x:row r="137">
      <x:c r="A137" s="1" t="s">
        <x:v>1018</x:v>
      </x:c>
      <x:c r="B137" s="1" t="s">
        <x:v>1019</x:v>
      </x:c>
      <x:c r="C137" s="1" t="s">
        <x:v>1020</x:v>
      </x:c>
      <x:c r="D137" s="1" t="s">
        <x:v>1021</x:v>
      </x:c>
      <x:c r="E137" s="1" t="s">
        <x:v>1022</x:v>
      </x:c>
      <x:c r="F137" s="1" t="s">
        <x:v>1023</x:v>
      </x:c>
      <x:c r="G137" s="1" t="s">
        <x:v>19</x:v>
      </x:c>
      <x:c r="H137" s="1" t="s">
        <x:v>19</x:v>
      </x:c>
      <x:c r="I137" s="1" t="s">
        <x:v>19</x:v>
      </x:c>
      <x:c r="J137" s="1" t="s">
        <x:v>1024</x:v>
      </x:c>
      <x:c r="K137" s="1" t="s">
        <x:v>1025</x:v>
      </x:c>
      <x:c r="L137" s="1" t="s">
        <x:v>87</x:v>
      </x:c>
      <x:c r="M137" s="1" t="s">
        <x:v>19</x:v>
      </x:c>
      <x:c r="N137" s="1" t="s">
        <x:v>19</x:v>
      </x:c>
      <x:c r="O137" s="1" t="s">
        <x:v>19</x:v>
      </x:c>
      <x:c r="P137" s="1" t="s">
        <x:v>19</x:v>
      </x:c>
    </x:row>
    <x:row r="138">
      <x:c r="A138" s="1" t="s">
        <x:v>1026</x:v>
      </x:c>
      <x:c r="B138" s="1" t="s">
        <x:v>1027</x:v>
      </x:c>
      <x:c r="C138" s="1" t="s">
        <x:v>1028</x:v>
      </x:c>
      <x:c r="D138" s="1" t="s">
        <x:v>1029</x:v>
      </x:c>
      <x:c r="E138" s="1" t="s">
        <x:v>1030</x:v>
      </x:c>
      <x:c r="F138" s="1" t="s">
        <x:v>996</x:v>
      </x:c>
      <x:c r="G138" s="1" t="s">
        <x:v>19</x:v>
      </x:c>
      <x:c r="H138" s="1" t="s">
        <x:v>19</x:v>
      </x:c>
      <x:c r="I138" s="1" t="s">
        <x:v>19</x:v>
      </x:c>
      <x:c r="J138" s="1" t="s">
        <x:v>571</x:v>
      </x:c>
      <x:c r="K138" s="1" t="s">
        <x:v>683</x:v>
      </x:c>
      <x:c r="L138" s="1" t="s">
        <x:v>19</x:v>
      </x:c>
      <x:c r="M138" s="1" t="s">
        <x:v>19</x:v>
      </x:c>
      <x:c r="N138" s="1" t="s">
        <x:v>19</x:v>
      </x:c>
      <x:c r="O138" s="1" t="s">
        <x:v>19</x:v>
      </x:c>
      <x:c r="P138" s="1" t="s">
        <x:v>19</x:v>
      </x:c>
    </x:row>
    <x:row r="139">
      <x:c r="A139" s="1" t="s">
        <x:v>1031</x:v>
      </x:c>
      <x:c r="B139" s="1" t="s">
        <x:v>1032</x:v>
      </x:c>
      <x:c r="C139" s="1" t="s">
        <x:v>1033</x:v>
      </x:c>
      <x:c r="D139" s="1" t="s">
        <x:v>1034</x:v>
      </x:c>
      <x:c r="E139" s="1" t="s">
        <x:v>348</x:v>
      </x:c>
      <x:c r="F139" s="1" t="s">
        <x:v>1035</x:v>
      </x:c>
      <x:c r="G139" s="1" t="s">
        <x:v>19</x:v>
      </x:c>
      <x:c r="H139" s="1" t="s">
        <x:v>19</x:v>
      </x:c>
      <x:c r="I139" s="1" t="s">
        <x:v>19</x:v>
      </x:c>
      <x:c r="J139" s="1" t="s">
        <x:v>830</x:v>
      </x:c>
      <x:c r="K139" s="1" t="s">
        <x:v>1003</x:v>
      </x:c>
      <x:c r="L139" s="1" t="s">
        <x:v>19</x:v>
      </x:c>
      <x:c r="M139" s="1" t="s">
        <x:v>19</x:v>
      </x:c>
      <x:c r="N139" s="1" t="s">
        <x:v>19</x:v>
      </x:c>
      <x:c r="O139" s="1" t="s">
        <x:v>19</x:v>
      </x:c>
      <x:c r="P139" s="1" t="s">
        <x:v>19</x:v>
      </x:c>
    </x:row>
    <x:row r="140">
      <x:c r="A140" s="1" t="s">
        <x:v>1036</x:v>
      </x:c>
      <x:c r="B140" s="1" t="s">
        <x:v>1037</x:v>
      </x:c>
      <x:c r="C140" s="1" t="s">
        <x:v>1013</x:v>
      </x:c>
      <x:c r="D140" s="1" t="s">
        <x:v>371</x:v>
      </x:c>
      <x:c r="E140" s="1" t="s">
        <x:v>327</x:v>
      </x:c>
      <x:c r="F140" s="1" t="s">
        <x:v>1038</x:v>
      </x:c>
      <x:c r="G140" s="1" t="s">
        <x:v>19</x:v>
      </x:c>
      <x:c r="H140" s="1" t="s">
        <x:v>19</x:v>
      </x:c>
      <x:c r="I140" s="1" t="s">
        <x:v>19</x:v>
      </x:c>
      <x:c r="J140" s="1" t="s">
        <x:v>1039</x:v>
      </x:c>
      <x:c r="K140" s="1" t="s">
        <x:v>1040</x:v>
      </x:c>
      <x:c r="L140" s="1" t="s">
        <x:v>19</x:v>
      </x:c>
      <x:c r="M140" s="1" t="s">
        <x:v>19</x:v>
      </x:c>
      <x:c r="N140" s="1" t="s">
        <x:v>19</x:v>
      </x:c>
      <x:c r="O140" s="1" t="s">
        <x:v>19</x:v>
      </x:c>
      <x:c r="P140" s="1" t="s">
        <x:v>19</x:v>
      </x:c>
    </x:row>
    <x:row r="141">
      <x:c r="A141" s="1" t="s">
        <x:v>1041</x:v>
      </x:c>
      <x:c r="B141" s="1" t="s">
        <x:v>1042</x:v>
      </x:c>
      <x:c r="C141" s="1" t="s">
        <x:v>1043</x:v>
      </x:c>
      <x:c r="D141" s="1" t="s">
        <x:v>657</x:v>
      </x:c>
      <x:c r="E141" s="1" t="s">
        <x:v>685</x:v>
      </x:c>
      <x:c r="F141" s="1" t="s">
        <x:v>1044</x:v>
      </x:c>
      <x:c r="G141" s="1" t="s">
        <x:v>19</x:v>
      </x:c>
      <x:c r="H141" s="1" t="s">
        <x:v>19</x:v>
      </x:c>
      <x:c r="I141" s="1" t="s">
        <x:v>19</x:v>
      </x:c>
      <x:c r="J141" s="1" t="s">
        <x:v>1045</x:v>
      </x:c>
      <x:c r="K141" s="1" t="s">
        <x:v>1046</x:v>
      </x:c>
      <x:c r="L141" s="1" t="s">
        <x:v>19</x:v>
      </x:c>
      <x:c r="M141" s="1" t="s">
        <x:v>19</x:v>
      </x:c>
      <x:c r="N141" s="1" t="s">
        <x:v>19</x:v>
      </x:c>
      <x:c r="O141" s="1" t="s">
        <x:v>19</x:v>
      </x:c>
      <x:c r="P141" s="1" t="s">
        <x:v>1047</x:v>
      </x:c>
    </x:row>
    <x:row r="142">
      <x:c r="A142" s="1" t="s">
        <x:v>1048</x:v>
      </x:c>
      <x:c r="B142" s="1" t="s">
        <x:v>1049</x:v>
      </x:c>
      <x:c r="C142" s="1" t="s">
        <x:v>1050</x:v>
      </x:c>
      <x:c r="D142" s="1" t="s">
        <x:v>705</x:v>
      </x:c>
      <x:c r="E142" s="1" t="s">
        <x:v>357</x:v>
      </x:c>
      <x:c r="F142" s="1" t="s">
        <x:v>1051</x:v>
      </x:c>
      <x:c r="G142" s="1" t="s">
        <x:v>19</x:v>
      </x:c>
      <x:c r="H142" s="1" t="s">
        <x:v>19</x:v>
      </x:c>
      <x:c r="I142" s="1" t="s">
        <x:v>19</x:v>
      </x:c>
      <x:c r="J142" s="1" t="s">
        <x:v>1052</x:v>
      </x:c>
      <x:c r="K142" s="1" t="s">
        <x:v>1053</x:v>
      </x:c>
      <x:c r="L142" s="1" t="s">
        <x:v>19</x:v>
      </x:c>
      <x:c r="M142" s="1" t="s">
        <x:v>19</x:v>
      </x:c>
      <x:c r="N142" s="1" t="s">
        <x:v>19</x:v>
      </x:c>
      <x:c r="O142" s="1" t="s">
        <x:v>19</x:v>
      </x:c>
      <x:c r="P142" s="1" t="s">
        <x:v>320</x:v>
      </x:c>
    </x:row>
    <x:row r="143">
      <x:c r="A143" s="1" t="s">
        <x:v>1054</x:v>
      </x:c>
      <x:c r="B143" s="1" t="s">
        <x:v>1055</x:v>
      </x:c>
      <x:c r="C143" s="1" t="s">
        <x:v>1056</x:v>
      </x:c>
      <x:c r="D143" s="1" t="s">
        <x:v>657</x:v>
      </x:c>
      <x:c r="E143" s="1" t="s">
        <x:v>416</x:v>
      </x:c>
      <x:c r="F143" s="1" t="s">
        <x:v>1057</x:v>
      </x:c>
      <x:c r="G143" s="1" t="s">
        <x:v>19</x:v>
      </x:c>
      <x:c r="H143" s="1" t="s">
        <x:v>19</x:v>
      </x:c>
      <x:c r="I143" s="1" t="s">
        <x:v>19</x:v>
      </x:c>
      <x:c r="J143" s="1" t="s">
        <x:v>1058</x:v>
      </x:c>
      <x:c r="K143" s="1" t="s">
        <x:v>1059</x:v>
      </x:c>
      <x:c r="L143" s="1" t="s">
        <x:v>19</x:v>
      </x:c>
      <x:c r="M143" s="1" t="s">
        <x:v>19</x:v>
      </x:c>
      <x:c r="N143" s="1" t="s">
        <x:v>19</x:v>
      </x:c>
      <x:c r="O143" s="1" t="s">
        <x:v>19</x:v>
      </x:c>
      <x:c r="P143" s="1" t="s">
        <x:v>77</x:v>
      </x:c>
    </x:row>
    <x:row r="144">
      <x:c r="A144" s="1" t="s">
        <x:v>1060</x:v>
      </x:c>
      <x:c r="B144" s="1" t="s">
        <x:v>1061</x:v>
      </x:c>
      <x:c r="C144" s="1" t="s">
        <x:v>1062</x:v>
      </x:c>
      <x:c r="D144" s="1" t="s">
        <x:v>713</x:v>
      </x:c>
      <x:c r="E144" s="1" t="s">
        <x:v>339</x:v>
      </x:c>
      <x:c r="F144" s="1" t="s">
        <x:v>271</x:v>
      </x:c>
      <x:c r="G144" s="1" t="s">
        <x:v>19</x:v>
      </x:c>
      <x:c r="H144" s="1" t="s">
        <x:v>19</x:v>
      </x:c>
      <x:c r="I144" s="1" t="s">
        <x:v>19</x:v>
      </x:c>
      <x:c r="J144" s="1" t="s">
        <x:v>1063</x:v>
      </x:c>
      <x:c r="K144" s="1" t="s">
        <x:v>244</x:v>
      </x:c>
      <x:c r="L144" s="1" t="s">
        <x:v>19</x:v>
      </x:c>
      <x:c r="M144" s="1" t="s">
        <x:v>19</x:v>
      </x:c>
      <x:c r="N144" s="1" t="s">
        <x:v>19</x:v>
      </x:c>
      <x:c r="O144" s="1" t="s">
        <x:v>19</x:v>
      </x:c>
      <x:c r="P144" s="1" t="s">
        <x:v>1064</x:v>
      </x:c>
    </x:row>
    <x:row r="145">
      <x:c r="A145" s="1" t="s">
        <x:v>1065</x:v>
      </x:c>
      <x:c r="B145" s="1" t="s">
        <x:v>1066</x:v>
      </x:c>
      <x:c r="C145" s="1" t="s">
        <x:v>1067</x:v>
      </x:c>
      <x:c r="D145" s="1" t="s">
        <x:v>1068</x:v>
      </x:c>
      <x:c r="E145" s="1" t="s">
        <x:v>1069</x:v>
      </x:c>
      <x:c r="F145" s="1" t="s">
        <x:v>271</x:v>
      </x:c>
      <x:c r="G145" s="1" t="s">
        <x:v>19</x:v>
      </x:c>
      <x:c r="H145" s="1" t="s">
        <x:v>19</x:v>
      </x:c>
      <x:c r="I145" s="1" t="s">
        <x:v>19</x:v>
      </x:c>
      <x:c r="J145" s="1" t="s">
        <x:v>1070</x:v>
      </x:c>
      <x:c r="K145" s="1" t="s">
        <x:v>1071</x:v>
      </x:c>
      <x:c r="L145" s="1" t="s">
        <x:v>19</x:v>
      </x:c>
      <x:c r="M145" s="1" t="s">
        <x:v>19</x:v>
      </x:c>
      <x:c r="N145" s="1" t="s">
        <x:v>19</x:v>
      </x:c>
      <x:c r="O145" s="1" t="s">
        <x:v>19</x:v>
      </x:c>
      <x:c r="P145" s="1" t="s">
        <x:v>1072</x:v>
      </x:c>
    </x:row>
    <x:row r="146">
      <x:c r="A146" s="1" t="s">
        <x:v>1073</x:v>
      </x:c>
      <x:c r="B146" s="1" t="s">
        <x:v>1074</x:v>
      </x:c>
      <x:c r="C146" s="1" t="s">
        <x:v>1075</x:v>
      </x:c>
      <x:c r="D146" s="1" t="s">
        <x:v>1076</x:v>
      </x:c>
      <x:c r="E146" s="1" t="s">
        <x:v>509</x:v>
      </x:c>
      <x:c r="F146" s="1" t="s">
        <x:v>1077</x:v>
      </x:c>
      <x:c r="G146" s="1" t="s">
        <x:v>19</x:v>
      </x:c>
      <x:c r="H146" s="1" t="s">
        <x:v>19</x:v>
      </x:c>
      <x:c r="I146" s="1" t="s">
        <x:v>19</x:v>
      </x:c>
      <x:c r="J146" s="1" t="s">
        <x:v>1078</x:v>
      </x:c>
      <x:c r="K146" s="1" t="s">
        <x:v>1079</x:v>
      </x:c>
      <x:c r="L146" s="1" t="s">
        <x:v>19</x:v>
      </x:c>
      <x:c r="M146" s="1" t="s">
        <x:v>19</x:v>
      </x:c>
      <x:c r="N146" s="1" t="s">
        <x:v>19</x:v>
      </x:c>
      <x:c r="O146" s="1" t="s">
        <x:v>19</x:v>
      </x:c>
      <x:c r="P146" s="1" t="s">
        <x:v>1080</x:v>
      </x:c>
    </x:row>
    <x:row r="147">
      <x:c r="A147" s="1" t="s">
        <x:v>1081</x:v>
      </x:c>
      <x:c r="B147" s="1" t="s">
        <x:v>1082</x:v>
      </x:c>
      <x:c r="C147" s="1" t="s">
        <x:v>1083</x:v>
      </x:c>
      <x:c r="D147" s="1" t="s">
        <x:v>1084</x:v>
      </x:c>
      <x:c r="E147" s="1" t="s">
        <x:v>1085</x:v>
      </x:c>
      <x:c r="F147" s="1" t="s">
        <x:v>1086</x:v>
      </x:c>
      <x:c r="G147" s="1" t="s">
        <x:v>19</x:v>
      </x:c>
      <x:c r="H147" s="1" t="s">
        <x:v>19</x:v>
      </x:c>
      <x:c r="I147" s="1" t="s">
        <x:v>19</x:v>
      </x:c>
      <x:c r="J147" s="1" t="s">
        <x:v>1087</x:v>
      </x:c>
      <x:c r="K147" s="1" t="s">
        <x:v>674</x:v>
      </x:c>
      <x:c r="L147" s="1" t="s">
        <x:v>19</x:v>
      </x:c>
      <x:c r="M147" s="1" t="s">
        <x:v>19</x:v>
      </x:c>
      <x:c r="N147" s="1" t="s">
        <x:v>19</x:v>
      </x:c>
      <x:c r="O147" s="1" t="s">
        <x:v>19</x:v>
      </x:c>
      <x:c r="P147" s="1" t="s">
        <x:v>1072</x:v>
      </x:c>
    </x:row>
    <x:row r="148">
      <x:c r="A148" s="1" t="s">
        <x:v>1088</x:v>
      </x:c>
      <x:c r="B148" s="1" t="s">
        <x:v>1089</x:v>
      </x:c>
      <x:c r="C148" s="1" t="s">
        <x:v>1090</x:v>
      </x:c>
      <x:c r="D148" s="1" t="s">
        <x:v>1001</x:v>
      </x:c>
      <x:c r="E148" s="1" t="s">
        <x:v>407</x:v>
      </x:c>
      <x:c r="F148" s="1" t="s">
        <x:v>1091</x:v>
      </x:c>
      <x:c r="G148" s="1" t="s">
        <x:v>19</x:v>
      </x:c>
      <x:c r="H148" s="1" t="s">
        <x:v>19</x:v>
      </x:c>
      <x:c r="I148" s="1" t="s">
        <x:v>19</x:v>
      </x:c>
      <x:c r="J148" s="1" t="s">
        <x:v>1087</x:v>
      </x:c>
      <x:c r="K148" s="1" t="s">
        <x:v>600</x:v>
      </x:c>
      <x:c r="L148" s="1" t="s">
        <x:v>19</x:v>
      </x:c>
      <x:c r="M148" s="1" t="s">
        <x:v>19</x:v>
      </x:c>
      <x:c r="N148" s="1" t="s">
        <x:v>19</x:v>
      </x:c>
      <x:c r="O148" s="1" t="s">
        <x:v>19</x:v>
      </x:c>
      <x:c r="P148" s="1" t="s">
        <x:v>1092</x:v>
      </x:c>
    </x:row>
    <x:row r="149">
      <x:c r="A149" s="1" t="s">
        <x:v>1093</x:v>
      </x:c>
      <x:c r="B149" s="1" t="s">
        <x:v>1094</x:v>
      </x:c>
      <x:c r="C149" s="1" t="s">
        <x:v>1095</x:v>
      </x:c>
      <x:c r="D149" s="1" t="s">
        <x:v>1008</x:v>
      </x:c>
      <x:c r="E149" s="1" t="s">
        <x:v>445</x:v>
      </x:c>
      <x:c r="F149" s="1" t="s">
        <x:v>1096</x:v>
      </x:c>
      <x:c r="G149" s="1" t="s">
        <x:v>19</x:v>
      </x:c>
      <x:c r="H149" s="1" t="s">
        <x:v>19</x:v>
      </x:c>
      <x:c r="I149" s="1" t="s">
        <x:v>19</x:v>
      </x:c>
      <x:c r="J149" s="1" t="s">
        <x:v>1063</x:v>
      </x:c>
      <x:c r="K149" s="1" t="s">
        <x:v>1097</x:v>
      </x:c>
      <x:c r="L149" s="1" t="s">
        <x:v>19</x:v>
      </x:c>
      <x:c r="M149" s="1" t="s">
        <x:v>19</x:v>
      </x:c>
      <x:c r="N149" s="1" t="s">
        <x:v>19</x:v>
      </x:c>
      <x:c r="O149" s="1" t="s">
        <x:v>19</x:v>
      </x:c>
      <x:c r="P149" s="1" t="s">
        <x:v>1098</x:v>
      </x:c>
    </x:row>
    <x:row r="150">
      <x:c r="A150" s="1" t="s">
        <x:v>1099</x:v>
      </x:c>
      <x:c r="B150" s="1" t="s">
        <x:v>1100</x:v>
      </x:c>
      <x:c r="C150" s="1" t="s">
        <x:v>1101</x:v>
      </x:c>
      <x:c r="D150" s="1" t="s">
        <x:v>1102</x:v>
      </x:c>
      <x:c r="E150" s="1" t="s">
        <x:v>1103</x:v>
      </x:c>
      <x:c r="F150" s="1" t="s">
        <x:v>1104</x:v>
      </x:c>
      <x:c r="G150" s="1" t="s">
        <x:v>19</x:v>
      </x:c>
      <x:c r="H150" s="1" t="s">
        <x:v>19</x:v>
      </x:c>
      <x:c r="I150" s="1" t="s">
        <x:v>19</x:v>
      </x:c>
      <x:c r="J150" s="1" t="s">
        <x:v>1105</x:v>
      </x:c>
      <x:c r="K150" s="1" t="s">
        <x:v>1106</x:v>
      </x:c>
      <x:c r="L150" s="1" t="s">
        <x:v>19</x:v>
      </x:c>
      <x:c r="M150" s="1" t="s">
        <x:v>19</x:v>
      </x:c>
      <x:c r="N150" s="1" t="s">
        <x:v>19</x:v>
      </x:c>
      <x:c r="O150" s="1" t="s">
        <x:v>19</x:v>
      </x:c>
      <x:c r="P150" s="1" t="s">
        <x:v>1107</x:v>
      </x:c>
    </x:row>
    <x:row r="151">
      <x:c r="A151" s="1" t="s">
        <x:v>1108</x:v>
      </x:c>
      <x:c r="B151" s="1" t="s">
        <x:v>1109</x:v>
      </x:c>
      <x:c r="C151" s="1" t="s">
        <x:v>1110</x:v>
      </x:c>
      <x:c r="D151" s="1" t="s">
        <x:v>1111</x:v>
      </x:c>
      <x:c r="E151" s="1" t="s">
        <x:v>1112</x:v>
      </x:c>
      <x:c r="F151" s="1" t="s">
        <x:v>1113</x:v>
      </x:c>
      <x:c r="G151" s="1" t="s">
        <x:v>19</x:v>
      </x:c>
      <x:c r="H151" s="1" t="s">
        <x:v>19</x:v>
      </x:c>
      <x:c r="I151" s="1" t="s">
        <x:v>19</x:v>
      </x:c>
      <x:c r="J151" s="1" t="s">
        <x:v>692</x:v>
      </x:c>
      <x:c r="K151" s="1" t="s">
        <x:v>1078</x:v>
      </x:c>
      <x:c r="L151" s="1" t="s">
        <x:v>19</x:v>
      </x:c>
      <x:c r="M151" s="1" t="s">
        <x:v>19</x:v>
      </x:c>
      <x:c r="N151" s="1" t="s">
        <x:v>19</x:v>
      </x:c>
      <x:c r="O151" s="1" t="s">
        <x:v>19</x:v>
      </x:c>
      <x:c r="P151" s="1" t="s">
        <x:v>1114</x:v>
      </x:c>
    </x:row>
    <x:row r="152">
      <x:c r="A152" s="1" t="s">
        <x:v>1115</x:v>
      </x:c>
      <x:c r="B152" s="1" t="s">
        <x:v>1116</x:v>
      </x:c>
      <x:c r="C152" s="1" t="s">
        <x:v>1117</x:v>
      </x:c>
      <x:c r="D152" s="1" t="s">
        <x:v>1118</x:v>
      </x:c>
      <x:c r="E152" s="1" t="s">
        <x:v>476</x:v>
      </x:c>
      <x:c r="F152" s="1" t="s">
        <x:v>1119</x:v>
      </x:c>
      <x:c r="G152" s="1" t="s">
        <x:v>19</x:v>
      </x:c>
      <x:c r="H152" s="1" t="s">
        <x:v>19</x:v>
      </x:c>
      <x:c r="I152" s="1" t="s">
        <x:v>19</x:v>
      </x:c>
      <x:c r="J152" s="1" t="s">
        <x:v>708</x:v>
      </x:c>
      <x:c r="K152" s="1" t="s">
        <x:v>456</x:v>
      </x:c>
      <x:c r="L152" s="1" t="s">
        <x:v>19</x:v>
      </x:c>
      <x:c r="M152" s="1" t="s">
        <x:v>19</x:v>
      </x:c>
      <x:c r="N152" s="1" t="s">
        <x:v>19</x:v>
      </x:c>
      <x:c r="O152" s="1" t="s">
        <x:v>19</x:v>
      </x:c>
      <x:c r="P152" s="1" t="s">
        <x:v>1120</x:v>
      </x:c>
    </x:row>
    <x:row r="153">
      <x:c r="A153" s="1" t="s">
        <x:v>1121</x:v>
      </x:c>
      <x:c r="B153" s="1" t="s">
        <x:v>1122</x:v>
      </x:c>
      <x:c r="C153" s="1" t="s">
        <x:v>1123</x:v>
      </x:c>
      <x:c r="D153" s="1" t="s">
        <x:v>1124</x:v>
      </x:c>
      <x:c r="E153" s="1" t="s">
        <x:v>1125</x:v>
      </x:c>
      <x:c r="F153" s="1" t="s">
        <x:v>1126</x:v>
      </x:c>
      <x:c r="G153" s="1" t="s">
        <x:v>19</x:v>
      </x:c>
      <x:c r="H153" s="1" t="s">
        <x:v>19</x:v>
      </x:c>
      <x:c r="I153" s="1" t="s">
        <x:v>19</x:v>
      </x:c>
      <x:c r="J153" s="1" t="s">
        <x:v>997</x:v>
      </x:c>
      <x:c r="K153" s="1" t="s">
        <x:v>477</x:v>
      </x:c>
      <x:c r="L153" s="1" t="s">
        <x:v>19</x:v>
      </x:c>
      <x:c r="M153" s="1" t="s">
        <x:v>19</x:v>
      </x:c>
      <x:c r="N153" s="1" t="s">
        <x:v>19</x:v>
      </x:c>
      <x:c r="O153" s="1" t="s">
        <x:v>19</x:v>
      </x:c>
      <x:c r="P153" s="1" t="s">
        <x:v>1127</x:v>
      </x:c>
    </x:row>
    <x:row r="154">
      <x:c r="A154" s="1" t="s">
        <x:v>1128</x:v>
      </x:c>
      <x:c r="B154" s="1" t="s">
        <x:v>1129</x:v>
      </x:c>
      <x:c r="C154" s="1" t="s">
        <x:v>1130</x:v>
      </x:c>
      <x:c r="D154" s="1" t="s">
        <x:v>1131</x:v>
      </x:c>
      <x:c r="E154" s="1" t="s">
        <x:v>1112</x:v>
      </x:c>
      <x:c r="F154" s="1" t="s">
        <x:v>1132</x:v>
      </x:c>
      <x:c r="G154" s="1" t="s">
        <x:v>19</x:v>
      </x:c>
      <x:c r="H154" s="1" t="s">
        <x:v>19</x:v>
      </x:c>
      <x:c r="I154" s="1" t="s">
        <x:v>19</x:v>
      </x:c>
      <x:c r="J154" s="1" t="s">
        <x:v>1133</x:v>
      </x:c>
      <x:c r="K154" s="1" t="s">
        <x:v>1134</x:v>
      </x:c>
      <x:c r="L154" s="1" t="s">
        <x:v>19</x:v>
      </x:c>
      <x:c r="M154" s="1" t="s">
        <x:v>19</x:v>
      </x:c>
      <x:c r="N154" s="1" t="s">
        <x:v>19</x:v>
      </x:c>
      <x:c r="O154" s="1" t="s">
        <x:v>19</x:v>
      </x:c>
      <x:c r="P154" s="1" t="s">
        <x:v>1114</x:v>
      </x:c>
    </x:row>
    <x:row r="155">
      <x:c r="A155" s="1" t="s">
        <x:v>1135</x:v>
      </x:c>
      <x:c r="B155" s="1" t="s">
        <x:v>1136</x:v>
      </x:c>
      <x:c r="C155" s="1" t="s">
        <x:v>1137</x:v>
      </x:c>
      <x:c r="D155" s="1" t="s">
        <x:v>1138</x:v>
      </x:c>
      <x:c r="E155" s="1" t="s">
        <x:v>1139</x:v>
      </x:c>
      <x:c r="F155" s="1" t="s">
        <x:v>1140</x:v>
      </x:c>
      <x:c r="G155" s="1" t="s">
        <x:v>19</x:v>
      </x:c>
      <x:c r="H155" s="1" t="s">
        <x:v>1141</x:v>
      </x:c>
      <x:c r="I155" s="1" t="s">
        <x:v>19</x:v>
      </x:c>
      <x:c r="J155" s="1" t="s">
        <x:v>1142</x:v>
      </x:c>
      <x:c r="K155" s="1" t="s">
        <x:v>456</x:v>
      </x:c>
      <x:c r="L155" s="1" t="s">
        <x:v>19</x:v>
      </x:c>
      <x:c r="M155" s="1" t="s">
        <x:v>19</x:v>
      </x:c>
      <x:c r="N155" s="1" t="s">
        <x:v>19</x:v>
      </x:c>
      <x:c r="O155" s="1" t="s">
        <x:v>19</x:v>
      </x:c>
      <x:c r="P155" s="1" t="s">
        <x:v>1143</x:v>
      </x:c>
    </x:row>
    <x:row r="156">
      <x:c r="A156" s="1" t="s">
        <x:v>1144</x:v>
      </x:c>
      <x:c r="B156" s="1" t="s">
        <x:v>1145</x:v>
      </x:c>
      <x:c r="C156" s="1" t="s">
        <x:v>1146</x:v>
      </x:c>
      <x:c r="D156" s="1" t="s">
        <x:v>1147</x:v>
      </x:c>
      <x:c r="E156" s="1" t="s">
        <x:v>462</x:v>
      </x:c>
      <x:c r="F156" s="1" t="s">
        <x:v>1148</x:v>
      </x:c>
      <x:c r="G156" s="1" t="s">
        <x:v>19</x:v>
      </x:c>
      <x:c r="H156" s="1" t="s">
        <x:v>19</x:v>
      </x:c>
      <x:c r="I156" s="1" t="s">
        <x:v>19</x:v>
      </x:c>
      <x:c r="J156" s="1" t="s">
        <x:v>1149</x:v>
      </x:c>
      <x:c r="K156" s="1" t="s">
        <x:v>1150</x:v>
      </x:c>
      <x:c r="L156" s="1" t="s">
        <x:v>19</x:v>
      </x:c>
      <x:c r="M156" s="1" t="s">
        <x:v>19</x:v>
      </x:c>
      <x:c r="N156" s="1" t="s">
        <x:v>19</x:v>
      </x:c>
      <x:c r="O156" s="1" t="s">
        <x:v>19</x:v>
      </x:c>
      <x:c r="P156" s="1" t="s">
        <x:v>1151</x:v>
      </x:c>
    </x:row>
    <x:row r="157">
      <x:c r="A157" s="1" t="s">
        <x:v>1152</x:v>
      </x:c>
      <x:c r="B157" s="1" t="s">
        <x:v>1153</x:v>
      </x:c>
      <x:c r="C157" s="1" t="s">
        <x:v>1137</x:v>
      </x:c>
      <x:c r="D157" s="1" t="s">
        <x:v>1154</x:v>
      </x:c>
      <x:c r="E157" s="1" t="s">
        <x:v>1155</x:v>
      </x:c>
      <x:c r="F157" s="1" t="s">
        <x:v>1156</x:v>
      </x:c>
      <x:c r="G157" s="1" t="s">
        <x:v>19</x:v>
      </x:c>
      <x:c r="H157" s="1" t="s">
        <x:v>19</x:v>
      </x:c>
      <x:c r="I157" s="1" t="s">
        <x:v>19</x:v>
      </x:c>
      <x:c r="J157" s="1" t="s">
        <x:v>1157</x:v>
      </x:c>
      <x:c r="K157" s="1" t="s">
        <x:v>1158</x:v>
      </x:c>
      <x:c r="L157" s="1" t="s">
        <x:v>19</x:v>
      </x:c>
      <x:c r="M157" s="1" t="s">
        <x:v>19</x:v>
      </x:c>
      <x:c r="N157" s="1" t="s">
        <x:v>19</x:v>
      </x:c>
      <x:c r="O157" s="1" t="s">
        <x:v>19</x:v>
      </x:c>
      <x:c r="P157" s="1" t="s">
        <x:v>1159</x:v>
      </x:c>
    </x:row>
    <x:row r="158">
      <x:c r="A158" s="1" t="s">
        <x:v>1160</x:v>
      </x:c>
      <x:c r="B158" s="1" t="s">
        <x:v>1161</x:v>
      </x:c>
      <x:c r="C158" s="1" t="s">
        <x:v>1162</x:v>
      </x:c>
      <x:c r="D158" s="1" t="s">
        <x:v>990</x:v>
      </x:c>
      <x:c r="E158" s="1" t="s">
        <x:v>1163</x:v>
      </x:c>
      <x:c r="F158" s="1" t="s">
        <x:v>1164</x:v>
      </x:c>
      <x:c r="G158" s="1" t="s">
        <x:v>19</x:v>
      </x:c>
      <x:c r="H158" s="1" t="s">
        <x:v>19</x:v>
      </x:c>
      <x:c r="I158" s="1" t="s">
        <x:v>19</x:v>
      </x:c>
      <x:c r="J158" s="1" t="s">
        <x:v>723</x:v>
      </x:c>
      <x:c r="K158" s="1" t="s">
        <x:v>471</x:v>
      </x:c>
      <x:c r="L158" s="1" t="s">
        <x:v>19</x:v>
      </x:c>
      <x:c r="M158" s="1" t="s">
        <x:v>19</x:v>
      </x:c>
      <x:c r="N158" s="1" t="s">
        <x:v>19</x:v>
      </x:c>
      <x:c r="O158" s="1" t="s">
        <x:v>19</x:v>
      </x:c>
      <x:c r="P158" s="1" t="s">
        <x:v>1165</x:v>
      </x:c>
    </x:row>
    <x:row r="159">
      <x:c r="A159" s="1" t="s">
        <x:v>1166</x:v>
      </x:c>
      <x:c r="B159" s="1" t="s">
        <x:v>1167</x:v>
      </x:c>
      <x:c r="C159" s="1" t="s">
        <x:v>1168</x:v>
      </x:c>
      <x:c r="D159" s="1" t="s">
        <x:v>1169</x:v>
      </x:c>
      <x:c r="E159" s="1" t="s">
        <x:v>398</x:v>
      </x:c>
      <x:c r="F159" s="1" t="s">
        <x:v>1170</x:v>
      </x:c>
      <x:c r="G159" s="1" t="s">
        <x:v>19</x:v>
      </x:c>
      <x:c r="H159" s="1" t="s">
        <x:v>19</x:v>
      </x:c>
      <x:c r="I159" s="1" t="s">
        <x:v>19</x:v>
      </x:c>
      <x:c r="J159" s="1" t="s">
        <x:v>600</x:v>
      </x:c>
      <x:c r="K159" s="1" t="s">
        <x:v>1058</x:v>
      </x:c>
      <x:c r="L159" s="1" t="s">
        <x:v>19</x:v>
      </x:c>
      <x:c r="M159" s="1" t="s">
        <x:v>19</x:v>
      </x:c>
      <x:c r="N159" s="1" t="s">
        <x:v>19</x:v>
      </x:c>
      <x:c r="O159" s="1" t="s">
        <x:v>19</x:v>
      </x:c>
      <x:c r="P159" s="1" t="s">
        <x:v>1143</x:v>
      </x:c>
    </x:row>
    <x:row r="160">
      <x:c r="A160" s="1" t="s">
        <x:v>1171</x:v>
      </x:c>
      <x:c r="B160" s="1" t="s">
        <x:v>1172</x:v>
      </x:c>
      <x:c r="C160" s="1" t="s">
        <x:v>1173</x:v>
      </x:c>
      <x:c r="D160" s="1" t="s">
        <x:v>1174</x:v>
      </x:c>
      <x:c r="E160" s="1" t="s">
        <x:v>372</x:v>
      </x:c>
      <x:c r="F160" s="1" t="s">
        <x:v>1175</x:v>
      </x:c>
      <x:c r="G160" s="1" t="s">
        <x:v>19</x:v>
      </x:c>
      <x:c r="H160" s="1" t="s">
        <x:v>19</x:v>
      </x:c>
      <x:c r="I160" s="1" t="s">
        <x:v>19</x:v>
      </x:c>
      <x:c r="J160" s="1" t="s">
        <x:v>249</x:v>
      </x:c>
      <x:c r="K160" s="1" t="s">
        <x:v>1176</x:v>
      </x:c>
      <x:c r="L160" s="1" t="s">
        <x:v>19</x:v>
      </x:c>
      <x:c r="M160" s="1" t="s">
        <x:v>19</x:v>
      </x:c>
      <x:c r="N160" s="1" t="s">
        <x:v>19</x:v>
      </x:c>
      <x:c r="O160" s="1" t="s">
        <x:v>19</x:v>
      </x:c>
      <x:c r="P160" s="1" t="s">
        <x:v>1177</x:v>
      </x:c>
    </x:row>
    <x:row r="161">
      <x:c r="A161" s="1" t="s">
        <x:v>1178</x:v>
      </x:c>
      <x:c r="B161" s="1" t="s">
        <x:v>1179</x:v>
      </x:c>
      <x:c r="C161" s="1" t="s">
        <x:v>1180</x:v>
      </x:c>
      <x:c r="D161" s="1" t="s">
        <x:v>1181</x:v>
      </x:c>
      <x:c r="E161" s="1" t="s">
        <x:v>453</x:v>
      </x:c>
      <x:c r="F161" s="1" t="s">
        <x:v>1182</x:v>
      </x:c>
      <x:c r="G161" s="1" t="s">
        <x:v>19</x:v>
      </x:c>
      <x:c r="H161" s="1" t="s">
        <x:v>19</x:v>
      </x:c>
      <x:c r="I161" s="1" t="s">
        <x:v>19</x:v>
      </x:c>
      <x:c r="J161" s="1" t="s">
        <x:v>997</x:v>
      </x:c>
      <x:c r="K161" s="1" t="s">
        <x:v>1183</x:v>
      </x:c>
      <x:c r="L161" s="1" t="s">
        <x:v>19</x:v>
      </x:c>
      <x:c r="M161" s="1" t="s">
        <x:v>19</x:v>
      </x:c>
      <x:c r="N161" s="1" t="s">
        <x:v>19</x:v>
      </x:c>
      <x:c r="O161" s="1" t="s">
        <x:v>19</x:v>
      </x:c>
      <x:c r="P161" s="1" t="s">
        <x:v>1159</x:v>
      </x:c>
    </x:row>
    <x:row r="162">
      <x:c r="A162" s="1" t="s">
        <x:v>1184</x:v>
      </x:c>
      <x:c r="B162" s="1" t="s">
        <x:v>1185</x:v>
      </x:c>
      <x:c r="C162" s="1" t="s">
        <x:v>1186</x:v>
      </x:c>
      <x:c r="D162" s="1" t="s">
        <x:v>1187</x:v>
      </x:c>
      <x:c r="E162" s="1" t="s">
        <x:v>532</x:v>
      </x:c>
      <x:c r="F162" s="1" t="s">
        <x:v>1188</x:v>
      </x:c>
      <x:c r="G162" s="1" t="s">
        <x:v>19</x:v>
      </x:c>
      <x:c r="H162" s="1" t="s">
        <x:v>19</x:v>
      </x:c>
      <x:c r="I162" s="1" t="s">
        <x:v>19</x:v>
      </x:c>
      <x:c r="J162" s="1" t="s">
        <x:v>282</x:v>
      </x:c>
      <x:c r="K162" s="1" t="s">
        <x:v>1189</x:v>
      </x:c>
      <x:c r="L162" s="1" t="s">
        <x:v>19</x:v>
      </x:c>
      <x:c r="M162" s="1" t="s">
        <x:v>19</x:v>
      </x:c>
      <x:c r="N162" s="1" t="s">
        <x:v>19</x:v>
      </x:c>
      <x:c r="O162" s="1" t="s">
        <x:v>19</x:v>
      </x:c>
      <x:c r="P162" s="1" t="s">
        <x:v>1190</x:v>
      </x:c>
    </x:row>
    <x:row r="163">
      <x:c r="A163" s="1" t="s">
        <x:v>1191</x:v>
      </x:c>
      <x:c r="B163" s="1" t="s">
        <x:v>1192</x:v>
      </x:c>
      <x:c r="C163" s="1" t="s">
        <x:v>1193</x:v>
      </x:c>
      <x:c r="D163" s="1" t="s">
        <x:v>1194</x:v>
      </x:c>
      <x:c r="E163" s="1" t="s">
        <x:v>1195</x:v>
      </x:c>
      <x:c r="F163" s="1" t="s">
        <x:v>1196</x:v>
      </x:c>
      <x:c r="G163" s="1" t="s">
        <x:v>19</x:v>
      </x:c>
      <x:c r="H163" s="1" t="s">
        <x:v>19</x:v>
      </x:c>
      <x:c r="I163" s="1" t="s">
        <x:v>19</x:v>
      </x:c>
      <x:c r="J163" s="1" t="s">
        <x:v>1197</x:v>
      </x:c>
      <x:c r="K163" s="1" t="s">
        <x:v>1198</x:v>
      </x:c>
      <x:c r="L163" s="1" t="s">
        <x:v>19</x:v>
      </x:c>
      <x:c r="M163" s="1" t="s">
        <x:v>19</x:v>
      </x:c>
      <x:c r="N163" s="1" t="s">
        <x:v>19</x:v>
      </x:c>
      <x:c r="O163" s="1" t="s">
        <x:v>19</x:v>
      </x:c>
      <x:c r="P163" s="1" t="s">
        <x:v>1177</x:v>
      </x:c>
    </x:row>
    <x:row r="164">
      <x:c r="A164" s="1" t="s">
        <x:v>1199</x:v>
      </x:c>
      <x:c r="B164" s="1" t="s">
        <x:v>1200</x:v>
      </x:c>
      <x:c r="C164" s="1" t="s">
        <x:v>1201</x:v>
      </x:c>
      <x:c r="D164" s="1" t="s">
        <x:v>1202</x:v>
      </x:c>
      <x:c r="E164" s="1" t="s">
        <x:v>1203</x:v>
      </x:c>
      <x:c r="F164" s="1" t="s">
        <x:v>1204</x:v>
      </x:c>
      <x:c r="G164" s="1" t="s">
        <x:v>19</x:v>
      </x:c>
      <x:c r="H164" s="1" t="s">
        <x:v>19</x:v>
      </x:c>
      <x:c r="I164" s="1" t="s">
        <x:v>19</x:v>
      </x:c>
      <x:c r="J164" s="1" t="s">
        <x:v>1142</x:v>
      </x:c>
      <x:c r="K164" s="1" t="s">
        <x:v>1205</x:v>
      </x:c>
      <x:c r="L164" s="1" t="s">
        <x:v>19</x:v>
      </x:c>
      <x:c r="M164" s="1" t="s">
        <x:v>19</x:v>
      </x:c>
      <x:c r="N164" s="1" t="s">
        <x:v>19</x:v>
      </x:c>
      <x:c r="O164" s="1" t="s">
        <x:v>19</x:v>
      </x:c>
      <x:c r="P164" s="1" t="s">
        <x:v>1206</x:v>
      </x:c>
    </x:row>
    <x:row r="165">
      <x:c r="A165" s="1" t="s">
        <x:v>1207</x:v>
      </x:c>
      <x:c r="B165" s="1" t="s">
        <x:v>1208</x:v>
      </x:c>
      <x:c r="C165" s="1" t="s">
        <x:v>1209</x:v>
      </x:c>
      <x:c r="D165" s="1" t="s">
        <x:v>1210</x:v>
      </x:c>
      <x:c r="E165" s="1" t="s">
        <x:v>1139</x:v>
      </x:c>
      <x:c r="F165" s="1" t="s">
        <x:v>1211</x:v>
      </x:c>
      <x:c r="G165" s="1" t="s">
        <x:v>19</x:v>
      </x:c>
      <x:c r="H165" s="1" t="s">
        <x:v>19</x:v>
      </x:c>
      <x:c r="I165" s="1" t="s">
        <x:v>19</x:v>
      </x:c>
      <x:c r="J165" s="1" t="s">
        <x:v>537</x:v>
      </x:c>
      <x:c r="K165" s="1" t="s">
        <x:v>1212</x:v>
      </x:c>
      <x:c r="L165" s="1" t="s">
        <x:v>19</x:v>
      </x:c>
      <x:c r="M165" s="1" t="s">
        <x:v>19</x:v>
      </x:c>
      <x:c r="N165" s="1" t="s">
        <x:v>19</x:v>
      </x:c>
      <x:c r="O165" s="1" t="s">
        <x:v>19</x:v>
      </x:c>
      <x:c r="P165" s="1" t="s">
        <x:v>1213</x:v>
      </x:c>
    </x:row>
    <x:row r="166">
      <x:c r="A166" s="1" t="s">
        <x:v>1214</x:v>
      </x:c>
      <x:c r="B166" s="1" t="s">
        <x:v>1215</x:v>
      </x:c>
      <x:c r="C166" s="1" t="s">
        <x:v>1216</x:v>
      </x:c>
      <x:c r="D166" s="1" t="s">
        <x:v>621</x:v>
      </x:c>
      <x:c r="E166" s="1" t="s">
        <x:v>1139</x:v>
      </x:c>
      <x:c r="F166" s="1" t="s">
        <x:v>1217</x:v>
      </x:c>
      <x:c r="G166" s="1" t="s">
        <x:v>19</x:v>
      </x:c>
      <x:c r="H166" s="1" t="s">
        <x:v>19</x:v>
      </x:c>
      <x:c r="I166" s="1" t="s">
        <x:v>19</x:v>
      </x:c>
      <x:c r="J166" s="1" t="s">
        <x:v>991</x:v>
      </x:c>
      <x:c r="K166" s="1" t="s">
        <x:v>1218</x:v>
      </x:c>
      <x:c r="L166" s="1" t="s">
        <x:v>19</x:v>
      </x:c>
      <x:c r="M166" s="1" t="s">
        <x:v>19</x:v>
      </x:c>
      <x:c r="N166" s="1" t="s">
        <x:v>19</x:v>
      </x:c>
      <x:c r="O166" s="1" t="s">
        <x:v>19</x:v>
      </x:c>
      <x:c r="P166" s="1" t="s">
        <x:v>1219</x:v>
      </x:c>
    </x:row>
    <x:row r="167">
      <x:c r="A167" s="1" t="s">
        <x:v>1220</x:v>
      </x:c>
      <x:c r="B167" s="1" t="s">
        <x:v>1221</x:v>
      </x:c>
      <x:c r="C167" s="1" t="s">
        <x:v>1222</x:v>
      </x:c>
      <x:c r="D167" s="1" t="s">
        <x:v>186</x:v>
      </x:c>
      <x:c r="E167" s="1" t="s">
        <x:v>202</x:v>
      </x:c>
      <x:c r="F167" s="1" t="s">
        <x:v>1223</x:v>
      </x:c>
      <x:c r="G167" s="1" t="s">
        <x:v>19</x:v>
      </x:c>
      <x:c r="H167" s="1" t="s">
        <x:v>19</x:v>
      </x:c>
      <x:c r="I167" s="1" t="s">
        <x:v>19</x:v>
      </x:c>
      <x:c r="J167" s="1" t="s">
        <x:v>1224</x:v>
      </x:c>
      <x:c r="K167" s="1" t="s">
        <x:v>477</x:v>
      </x:c>
      <x:c r="L167" s="1" t="s">
        <x:v>19</x:v>
      </x:c>
      <x:c r="M167" s="1" t="s">
        <x:v>19</x:v>
      </x:c>
      <x:c r="N167" s="1" t="s">
        <x:v>19</x:v>
      </x:c>
      <x:c r="O167" s="1" t="s">
        <x:v>19</x:v>
      </x:c>
      <x:c r="P167" s="1" t="s">
        <x:v>1225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2.25" hidden="0" customWidth="1"/>
    <x:col min="3" max="3" width="12.25" hidden="0" customWidth="1"/>
    <x:col min="4" max="4" width="12.25" hidden="0" customWidth="1"/>
    <x:col min="5" max="5" width="12.25" hidden="0" customWidth="1"/>
    <x:col min="6" max="6" width="12.25" hidden="0" customWidth="1"/>
    <x:col min="7" max="7" width="12.25" hidden="0" customWidth="1"/>
    <x:col min="8" max="8" width="12.25" hidden="0" customWidth="1"/>
    <x:col min="9" max="9" width="12.25" hidden="0" customWidth="1"/>
    <x:col min="10" max="10" width="12.25" hidden="0" customWidth="1"/>
    <x:col min="11" max="11" width="12.25" hidden="0" customWidth="1"/>
    <x:col min="12" max="12" width="12.25" hidden="0" customWidth="1"/>
    <x:col min="13" max="13" width="12.25" hidden="0" customWidth="1"/>
    <x:col min="14" max="14" width="12.25" hidden="0" customWidth="1"/>
  </x:cols>
  <x:sheetData>
    <x:row r="1">
      <x:c r="A1" s="30" t="str">
        <x:v>日期</x:v>
      </x:c>
      <x:c r="B1" s="31" t="str">
        <x:v>产品净值</x:v>
      </x:c>
      <x:c r="C1" s="31" t="str">
        <x:v>基准净值</x:v>
      </x:c>
      <x:c r="D1" s="32" t="str">
        <x:v>产品区间收益</x:v>
      </x:c>
      <x:c r="E1" s="32" t="str">
        <x:v>基准区间收益</x:v>
      </x:c>
      <x:c r="F1" s="32" t="str">
        <x:v>超额收益</x:v>
      </x:c>
      <x:c r="G1" s="30" t="str">
        <x:v>产品累计最高</x:v>
      </x:c>
      <x:c r="H1" s="32" t="str">
        <x:v>产品回撤</x:v>
      </x:c>
      <x:c r="I1" s="32" t="str">
        <x:v>基准累计最高</x:v>
      </x:c>
      <x:c r="J1" s="32" t="str">
        <x:v>基准回撤</x:v>
      </x:c>
      <x:c r="K1" s="32" t="str">
        <x:v>单期最大调仓</x:v>
      </x:c>
      <x:c r="L1" s="32" t="str">
        <x:v>单期换手</x:v>
      </x:c>
      <x:c r="M1" s="32" t="str">
        <x:v>策略集中度(HHI)</x:v>
      </x:c>
      <x:c r="N1" s="32" t="str">
        <x:v>现金仓位</x:v>
      </x:c>
    </x:row>
    <x:row r="2">
      <x:c r="A2" t="str">
        <x:f>'Sheet2'!A2</x:f>
        <x:v>2023-05-12</x:v>
      </x:c>
      <x:c r="B2" t="n">
        <x:f>VALUE('Sheet2'!B2)</x:f>
        <x:v>1</x:v>
      </x:c>
      <x:c r="C2" t="n">
        <x:f>VALUE('Sheet2'!C2)</x:f>
        <x:v>1</x:v>
      </x:c>
      <x:c r="D2" t="str">
        <x:f>""</x:f>
      </x:c>
      <x:c r="E2" t="str">
        <x:f>""</x:f>
      </x:c>
      <x:c r="F2" t="str">
        <x:f>""</x:f>
      </x:c>
      <x:c r="G2" t="n">
        <x:f>MAX($B$2:B2)</x:f>
        <x:v>1</x:v>
      </x:c>
      <x:c r="H2" t="n">
        <x:f>IFERROR(B2/G2-1,"")</x:f>
        <x:v>0</x:v>
      </x:c>
      <x:c r="I2" t="n">
        <x:f>MAX($C$2:C2)</x:f>
        <x:v>1</x:v>
      </x:c>
      <x:c r="J2" t="n">
        <x:f>IFERROR(C2/I2-1,"")</x:f>
        <x:v>0</x:v>
      </x:c>
      <x:c r="K2" t="str">
        <x:f>""</x:f>
      </x:c>
      <x:c r="L2" t="str">
        <x:f>""</x:f>
      </x:c>
      <x:c r="M2" t="n">
        <x:f>SUMSQ('Sheet2'!D2:P2)</x:f>
        <x:v>1</x:v>
      </x:c>
      <x:c r="N2" t="n">
        <x:f>VALUE('Sheet2'!D2)</x:f>
        <x:v>1</x:v>
      </x:c>
    </x:row>
    <x:row r="3">
      <x:c r="A3" t="str">
        <x:f>'Sheet2'!A3</x:f>
        <x:v>2023-05-19</x:v>
      </x:c>
      <x:c r="B3" t="n">
        <x:f>VALUE('Sheet2'!B3)</x:f>
        <x:v>0.9997</x:v>
      </x:c>
      <x:c r="C3" t="n">
        <x:f>VALUE('Sheet2'!C3)</x:f>
        <x:v>1.0017</x:v>
      </x:c>
      <x:c r="D3" t="n">
        <x:f>IFERROR(B3/B2-1,"")</x:f>
        <x:v>-0.00029999999999996696</x:v>
      </x:c>
      <x:c r="E3" t="n">
        <x:f>IFERROR(C3/C2-1,"")</x:f>
        <x:v>0.0017000000000000348</x:v>
      </x:c>
      <x:c r="F3" t="n">
        <x:f>IFERROR(D3-E3,"")</x:f>
        <x:v>-0.0020000000000000018</x:v>
      </x:c>
      <x:c r="G3" t="n">
        <x:f>MAX($B$2:B3)</x:f>
        <x:v>1</x:v>
      </x:c>
      <x:c r="H3" t="n">
        <x:f>IFERROR(B3/G3-1,"")</x:f>
        <x:v>-0.00029999999999996696</x:v>
      </x:c>
      <x:c r="I3" t="n">
        <x:f>MAX($C$2:C3)</x:f>
        <x:v>1.0017</x:v>
      </x:c>
      <x:c r="J3" t="n">
        <x:f>IFERROR(C3/I3-1,"")</x:f>
        <x:v>0</x:v>
      </x:c>
      <x:c r="K3" t="n">
        <x:f>MAX(ABS(VALUE('Sheet2'!D3)-VALUE('Sheet2'!D2)),ABS(VALUE('Sheet2'!E3)-VALUE('Sheet2'!E2)),ABS(VALUE('Sheet2'!F3)-VALUE('Sheet2'!F2)),ABS(VALUE('Sheet2'!G3)-VALUE('Sheet2'!G2)),ABS(VALUE('Sheet2'!H3)-VALUE('Sheet2'!H2)),ABS(VALUE('Sheet2'!I3)-VALUE('Sheet2'!I2)),ABS(VALUE('Sheet2'!J3)-VALUE('Sheet2'!J2)),ABS(VALUE('Sheet2'!K3)-VALUE('Sheet2'!K2)),ABS(VALUE('Sheet2'!L3)-VALUE('Sheet2'!L2)),ABS(VALUE('Sheet2'!M3)-VALUE('Sheet2'!M2)),ABS(VALUE('Sheet2'!N3)-VALUE('Sheet2'!N2)),ABS(VALUE('Sheet2'!O3)-VALUE('Sheet2'!O2)),ABS(VALUE('Sheet2'!P3)-VALUE('Sheet2'!P2)))</x:f>
        <x:v>0.20009999999999994</x:v>
      </x:c>
      <x:c r="L3" t="n">
        <x:f>SUM(ABS(VALUE('Sheet2'!D3)-VALUE('Sheet2'!D2)),ABS(VALUE('Sheet2'!E3)-VALUE('Sheet2'!E2)),ABS(VALUE('Sheet2'!F3)-VALUE('Sheet2'!F2)),ABS(VALUE('Sheet2'!G3)-VALUE('Sheet2'!G2)),ABS(VALUE('Sheet2'!H3)-VALUE('Sheet2'!H2)),ABS(VALUE('Sheet2'!I3)-VALUE('Sheet2'!I2)),ABS(VALUE('Sheet2'!J3)-VALUE('Sheet2'!J2)),ABS(VALUE('Sheet2'!K3)-VALUE('Sheet2'!K2)),ABS(VALUE('Sheet2'!L3)-VALUE('Sheet2'!L2)),ABS(VALUE('Sheet2'!M3)-VALUE('Sheet2'!M2)),ABS(VALUE('Sheet2'!N3)-VALUE('Sheet2'!N2)),ABS(VALUE('Sheet2'!O3)-VALUE('Sheet2'!O2)),ABS(VALUE('Sheet2'!P3)-VALUE('Sheet2'!P2)))/2</x:f>
        <x:v>0.20009999999999997</x:v>
      </x:c>
      <x:c r="M3" t="n">
        <x:f>SUMSQ('Sheet2'!D3:P3)</x:f>
        <x:v>0.6598602600000001</x:v>
      </x:c>
      <x:c r="N3" t="n">
        <x:f>VALUE('Sheet2'!D3)</x:f>
        <x:v>0.7999</x:v>
      </x:c>
    </x:row>
    <x:row r="4">
      <x:c r="A4" t="str">
        <x:f>'Sheet2'!A4</x:f>
        <x:v>2023-05-26</x:v>
      </x:c>
      <x:c r="B4" t="n">
        <x:f>VALUE('Sheet2'!B4)</x:f>
        <x:v>0.9998</x:v>
      </x:c>
      <x:c r="C4" t="n">
        <x:f>VALUE('Sheet2'!C4)</x:f>
        <x:v>0.978</x:v>
      </x:c>
      <x:c r="D4" t="n">
        <x:f>IFERROR(B4/B3-1,"")</x:f>
        <x:v>0.00010003000900260517</x:v>
      </x:c>
      <x:c r="E4" t="n">
        <x:f>IFERROR(C4/C3-1,"")</x:f>
        <x:v>-0.023659778376759588</x:v>
      </x:c>
      <x:c r="F4" t="n">
        <x:f>IFERROR(D4-E4,"")</x:f>
        <x:v>0.023759808385762193</x:v>
      </x:c>
      <x:c r="G4" t="n">
        <x:f>MAX($B$2:B4)</x:f>
        <x:v>1</x:v>
      </x:c>
      <x:c r="H4" t="n">
        <x:f>IFERROR(B4/G4-1,"")</x:f>
        <x:v>-0.00019999999999997797</x:v>
      </x:c>
      <x:c r="I4" t="n">
        <x:f>MAX($C$2:C4)</x:f>
        <x:v>1.0017</x:v>
      </x:c>
      <x:c r="J4" t="n">
        <x:f>IFERROR(C4/I4-1,"")</x:f>
        <x:v>-0.023659778376759588</x:v>
      </x:c>
      <x:c r="K4" t="n">
        <x:f>MAX(ABS(VALUE('Sheet2'!D4)-VALUE('Sheet2'!D3)),ABS(VALUE('Sheet2'!E4)-VALUE('Sheet2'!E3)),ABS(VALUE('Sheet2'!F4)-VALUE('Sheet2'!F3)),ABS(VALUE('Sheet2'!G4)-VALUE('Sheet2'!G3)),ABS(VALUE('Sheet2'!H4)-VALUE('Sheet2'!H3)),ABS(VALUE('Sheet2'!I4)-VALUE('Sheet2'!I3)),ABS(VALUE('Sheet2'!J4)-VALUE('Sheet2'!J3)),ABS(VALUE('Sheet2'!K4)-VALUE('Sheet2'!K3)),ABS(VALUE('Sheet2'!L4)-VALUE('Sheet2'!L3)),ABS(VALUE('Sheet2'!M4)-VALUE('Sheet2'!M3)),ABS(VALUE('Sheet2'!N4)-VALUE('Sheet2'!N3)),ABS(VALUE('Sheet2'!O4)-VALUE('Sheet2'!O3)),ABS(VALUE('Sheet2'!P4)-VALUE('Sheet2'!P3)))</x:f>
        <x:v>0.30050000000000004</x:v>
      </x:c>
      <x:c r="L4" t="n">
        <x:f>SUM(ABS(VALUE('Sheet2'!D4)-VALUE('Sheet2'!D3)),ABS(VALUE('Sheet2'!E4)-VALUE('Sheet2'!E3)),ABS(VALUE('Sheet2'!F4)-VALUE('Sheet2'!F3)),ABS(VALUE('Sheet2'!G4)-VALUE('Sheet2'!G3)),ABS(VALUE('Sheet2'!H4)-VALUE('Sheet2'!H3)),ABS(VALUE('Sheet2'!I4)-VALUE('Sheet2'!I3)),ABS(VALUE('Sheet2'!J4)-VALUE('Sheet2'!J3)),ABS(VALUE('Sheet2'!K4)-VALUE('Sheet2'!K3)),ABS(VALUE('Sheet2'!L4)-VALUE('Sheet2'!L3)),ABS(VALUE('Sheet2'!M4)-VALUE('Sheet2'!M3)),ABS(VALUE('Sheet2'!N4)-VALUE('Sheet2'!N3)),ABS(VALUE('Sheet2'!O4)-VALUE('Sheet2'!O3)),ABS(VALUE('Sheet2'!P4)-VALUE('Sheet2'!P3)))/2</x:f>
        <x:v>0.30050000000000004</x:v>
      </x:c>
      <x:c r="M4" t="n">
        <x:f>SUMSQ('Sheet2'!D4:P4)</x:f>
        <x:v>0.35960080000000005</x:v>
      </x:c>
      <x:c r="N4" t="n">
        <x:f>VALUE('Sheet2'!D4)</x:f>
        <x:v>0.4994</x:v>
      </x:c>
    </x:row>
    <x:row r="5">
      <x:c r="A5" t="str">
        <x:f>'Sheet2'!A5</x:f>
        <x:v>2023-06-02</x:v>
      </x:c>
      <x:c r="B5" t="n">
        <x:f>VALUE('Sheet2'!B5)</x:f>
        <x:v>1.0023</x:v>
      </x:c>
      <x:c r="C5" t="n">
        <x:f>VALUE('Sheet2'!C5)</x:f>
        <x:v>0.9807</x:v>
      </x:c>
      <x:c r="D5" t="n">
        <x:f>IFERROR(B5/B4-1,"")</x:f>
        <x:v>0.002500500100020009</x:v>
      </x:c>
      <x:c r="E5" t="n">
        <x:f>IFERROR(C5/C4-1,"")</x:f>
        <x:v>0.0027607361963191135</x:v>
      </x:c>
      <x:c r="F5" t="n">
        <x:f>IFERROR(D5-E5,"")</x:f>
        <x:v>-0.0002602360962991046</x:v>
      </x:c>
      <x:c r="G5" t="n">
        <x:f>MAX($B$2:B5)</x:f>
        <x:v>1.0023</x:v>
      </x:c>
      <x:c r="H5" t="n">
        <x:f>IFERROR(B5/G5-1,"")</x:f>
        <x:v>0</x:v>
      </x:c>
      <x:c r="I5" t="n">
        <x:f>MAX($C$2:C5)</x:f>
        <x:v>1.0017</x:v>
      </x:c>
      <x:c r="J5" t="n">
        <x:f>IFERROR(C5/I5-1,"")</x:f>
        <x:v>-0.02096436058700213</x:v>
      </x:c>
      <x:c r="K5" t="n">
        <x:f>MAX(ABS(VALUE('Sheet2'!D5)-VALUE('Sheet2'!D4)),ABS(VALUE('Sheet2'!E5)-VALUE('Sheet2'!E4)),ABS(VALUE('Sheet2'!F5)-VALUE('Sheet2'!F4)),ABS(VALUE('Sheet2'!G5)-VALUE('Sheet2'!G4)),ABS(VALUE('Sheet2'!H5)-VALUE('Sheet2'!H4)),ABS(VALUE('Sheet2'!I5)-VALUE('Sheet2'!I4)),ABS(VALUE('Sheet2'!J5)-VALUE('Sheet2'!J4)),ABS(VALUE('Sheet2'!K5)-VALUE('Sheet2'!K4)),ABS(VALUE('Sheet2'!L5)-VALUE('Sheet2'!L4)),ABS(VALUE('Sheet2'!M5)-VALUE('Sheet2'!M4)),ABS(VALUE('Sheet2'!N5)-VALUE('Sheet2'!N4)),ABS(VALUE('Sheet2'!O5)-VALUE('Sheet2'!O4)),ABS(VALUE('Sheet2'!P5)-VALUE('Sheet2'!P4)))</x:f>
        <x:v>0.201</x:v>
      </x:c>
      <x:c r="L5" t="n">
        <x:f>SUM(ABS(VALUE('Sheet2'!D5)-VALUE('Sheet2'!D4)),ABS(VALUE('Sheet2'!E5)-VALUE('Sheet2'!E4)),ABS(VALUE('Sheet2'!F5)-VALUE('Sheet2'!F4)),ABS(VALUE('Sheet2'!G5)-VALUE('Sheet2'!G4)),ABS(VALUE('Sheet2'!H5)-VALUE('Sheet2'!H4)),ABS(VALUE('Sheet2'!I5)-VALUE('Sheet2'!I4)),ABS(VALUE('Sheet2'!J5)-VALUE('Sheet2'!J4)),ABS(VALUE('Sheet2'!K5)-VALUE('Sheet2'!K4)),ABS(VALUE('Sheet2'!L5)-VALUE('Sheet2'!L4)),ABS(VALUE('Sheet2'!M5)-VALUE('Sheet2'!M4)),ABS(VALUE('Sheet2'!N5)-VALUE('Sheet2'!N4)),ABS(VALUE('Sheet2'!O5)-VALUE('Sheet2'!O4)),ABS(VALUE('Sheet2'!P5)-VALUE('Sheet2'!P4)))/2</x:f>
        <x:v>0.2023</x:v>
      </x:c>
      <x:c r="M5" t="n">
        <x:f>SUMSQ('Sheet2'!D5:P5)</x:f>
        <x:v>0.24047226</x:v>
      </x:c>
      <x:c r="N5" t="n">
        <x:f>VALUE('Sheet2'!D5)</x:f>
        <x:v>0.2984</x:v>
      </x:c>
    </x:row>
    <x:row r="6">
      <x:c r="A6" t="str">
        <x:f>'Sheet2'!A6</x:f>
        <x:v>2023-06-09</x:v>
      </x:c>
      <x:c r="B6" t="n">
        <x:f>VALUE('Sheet2'!B6)</x:f>
        <x:v>0.9971</x:v>
      </x:c>
      <x:c r="C6" t="n">
        <x:f>VALUE('Sheet2'!C6)</x:f>
        <x:v>0.9743</x:v>
      </x:c>
      <x:c r="D6" t="n">
        <x:f>IFERROR(B6/B5-1,"")</x:f>
        <x:v>-0.005188067444876765</x:v>
      </x:c>
      <x:c r="E6" t="n">
        <x:f>IFERROR(C6/C5-1,"")</x:f>
        <x:v>-0.006525950851432594</x:v>
      </x:c>
      <x:c r="F6" t="n">
        <x:f>IFERROR(D6-E6,"")</x:f>
        <x:v>0.0013378834065558287</x:v>
      </x:c>
      <x:c r="G6" t="n">
        <x:f>MAX($B$2:B6)</x:f>
        <x:v>1.0023</x:v>
      </x:c>
      <x:c r="H6" t="n">
        <x:f>IFERROR(B6/G6-1,"")</x:f>
        <x:v>-0.005188067444876765</x:v>
      </x:c>
      <x:c r="I6" t="n">
        <x:f>MAX($C$2:C6)</x:f>
        <x:v>1.0017</x:v>
      </x:c>
      <x:c r="J6" t="n">
        <x:f>IFERROR(C6/I6-1,"")</x:f>
        <x:v>-0.027353499051612218</x:v>
      </x:c>
      <x:c r="K6" t="n">
        <x:f>MAX(ABS(VALUE('Sheet2'!D6)-VALUE('Sheet2'!D5)),ABS(VALUE('Sheet2'!E6)-VALUE('Sheet2'!E5)),ABS(VALUE('Sheet2'!F6)-VALUE('Sheet2'!F5)),ABS(VALUE('Sheet2'!G6)-VALUE('Sheet2'!G5)),ABS(VALUE('Sheet2'!H6)-VALUE('Sheet2'!H5)),ABS(VALUE('Sheet2'!I6)-VALUE('Sheet2'!I5)),ABS(VALUE('Sheet2'!J6)-VALUE('Sheet2'!J5)),ABS(VALUE('Sheet2'!K6)-VALUE('Sheet2'!K5)),ABS(VALUE('Sheet2'!L6)-VALUE('Sheet2'!L5)),ABS(VALUE('Sheet2'!M6)-VALUE('Sheet2'!M5)),ABS(VALUE('Sheet2'!N6)-VALUE('Sheet2'!N5)),ABS(VALUE('Sheet2'!O6)-VALUE('Sheet2'!O5)),ABS(VALUE('Sheet2'!P6)-VALUE('Sheet2'!P5)))</x:f>
        <x:v>0.0503</x:v>
      </x:c>
      <x:c r="L6" t="n">
        <x:f>SUM(ABS(VALUE('Sheet2'!D6)-VALUE('Sheet2'!D5)),ABS(VALUE('Sheet2'!E6)-VALUE('Sheet2'!E5)),ABS(VALUE('Sheet2'!F6)-VALUE('Sheet2'!F5)),ABS(VALUE('Sheet2'!G6)-VALUE('Sheet2'!G5)),ABS(VALUE('Sheet2'!H6)-VALUE('Sheet2'!H5)),ABS(VALUE('Sheet2'!I6)-VALUE('Sheet2'!I5)),ABS(VALUE('Sheet2'!J6)-VALUE('Sheet2'!J5)),ABS(VALUE('Sheet2'!K6)-VALUE('Sheet2'!K5)),ABS(VALUE('Sheet2'!L6)-VALUE('Sheet2'!L5)),ABS(VALUE('Sheet2'!M6)-VALUE('Sheet2'!M5)),ABS(VALUE('Sheet2'!N6)-VALUE('Sheet2'!N5)),ABS(VALUE('Sheet2'!O6)-VALUE('Sheet2'!O5)),ABS(VALUE('Sheet2'!P6)-VALUE('Sheet2'!P5)))/2</x:f>
        <x:v>0.05169999999999997</x:v>
      </x:c>
      <x:c r="M6" t="n">
        <x:f>SUMSQ('Sheet2'!D6:P6)</x:f>
        <x:v>0.21568784000000005</x:v>
      </x:c>
      <x:c r="N6" t="n">
        <x:f>VALUE('Sheet2'!D6)</x:f>
        <x:v>0.2495</x:v>
      </x:c>
    </x:row>
    <x:row r="7">
      <x:c r="A7" t="str">
        <x:f>'Sheet2'!A7</x:f>
        <x:v>2023-06-16</x:v>
      </x:c>
      <x:c r="B7" t="n">
        <x:f>VALUE('Sheet2'!B7)</x:f>
        <x:v>1.0033</x:v>
      </x:c>
      <x:c r="C7" t="n">
        <x:f>VALUE('Sheet2'!C7)</x:f>
        <x:v>1.0065</x:v>
      </x:c>
      <x:c r="D7" t="n">
        <x:f>IFERROR(B7/B6-1,"")</x:f>
        <x:v>0.0062180322936515875</x:v>
      </x:c>
      <x:c r="E7" t="n">
        <x:f>IFERROR(C7/C6-1,"")</x:f>
        <x:v>0.03304936877758369</x:v>
      </x:c>
      <x:c r="F7" t="n">
        <x:f>IFERROR(D7-E7,"")</x:f>
        <x:v>-0.0268313364839321</x:v>
      </x:c>
      <x:c r="G7" t="n">
        <x:f>MAX($B$2:B7)</x:f>
        <x:v>1.0033</x:v>
      </x:c>
      <x:c r="H7" t="n">
        <x:f>IFERROR(B7/G7-1,"")</x:f>
        <x:v>0</x:v>
      </x:c>
      <x:c r="I7" t="n">
        <x:f>MAX($C$2:C7)</x:f>
        <x:v>1.0065</x:v>
      </x:c>
      <x:c r="J7" t="n">
        <x:f>IFERROR(C7/I7-1,"")</x:f>
        <x:v>0</x:v>
      </x:c>
      <x:c r="K7" t="n">
        <x:f>MAX(ABS(VALUE('Sheet2'!D7)-VALUE('Sheet2'!D6)),ABS(VALUE('Sheet2'!E7)-VALUE('Sheet2'!E6)),ABS(VALUE('Sheet2'!F7)-VALUE('Sheet2'!F6)),ABS(VALUE('Sheet2'!G7)-VALUE('Sheet2'!G6)),ABS(VALUE('Sheet2'!H7)-VALUE('Sheet2'!H6)),ABS(VALUE('Sheet2'!I7)-VALUE('Sheet2'!I6)),ABS(VALUE('Sheet2'!J7)-VALUE('Sheet2'!J6)),ABS(VALUE('Sheet2'!K7)-VALUE('Sheet2'!K6)),ABS(VALUE('Sheet2'!L7)-VALUE('Sheet2'!L6)),ABS(VALUE('Sheet2'!M7)-VALUE('Sheet2'!M6)),ABS(VALUE('Sheet2'!N7)-VALUE('Sheet2'!N6)),ABS(VALUE('Sheet2'!O7)-VALUE('Sheet2'!O6)),ABS(VALUE('Sheet2'!P7)-VALUE('Sheet2'!P6)))</x:f>
        <x:v>0.0050000000000000044</x:v>
      </x:c>
      <x:c r="L7" t="n">
        <x:f>SUM(ABS(VALUE('Sheet2'!D7)-VALUE('Sheet2'!D6)),ABS(VALUE('Sheet2'!E7)-VALUE('Sheet2'!E6)),ABS(VALUE('Sheet2'!F7)-VALUE('Sheet2'!F6)),ABS(VALUE('Sheet2'!G7)-VALUE('Sheet2'!G6)),ABS(VALUE('Sheet2'!H7)-VALUE('Sheet2'!H6)),ABS(VALUE('Sheet2'!I7)-VALUE('Sheet2'!I6)),ABS(VALUE('Sheet2'!J7)-VALUE('Sheet2'!J6)),ABS(VALUE('Sheet2'!K7)-VALUE('Sheet2'!K6)),ABS(VALUE('Sheet2'!L7)-VALUE('Sheet2'!L6)),ABS(VALUE('Sheet2'!M7)-VALUE('Sheet2'!M6)),ABS(VALUE('Sheet2'!N7)-VALUE('Sheet2'!N6)),ABS(VALUE('Sheet2'!O7)-VALUE('Sheet2'!O6)),ABS(VALUE('Sheet2'!P7)-VALUE('Sheet2'!P6)))/2</x:f>
        <x:v>0.005499999999999998</x:v>
      </x:c>
      <x:c r="M7" t="n">
        <x:f>SUMSQ('Sheet2'!D7:P7)</x:f>
        <x:v>0.21688874000000002</x:v>
      </x:c>
      <x:c r="N7" t="n">
        <x:f>VALUE('Sheet2'!D7)</x:f>
        <x:v>0.2476</x:v>
      </x:c>
    </x:row>
    <x:row r="8">
      <x:c r="A8" t="str">
        <x:f>'Sheet2'!A8</x:f>
        <x:v>2023-06-21</x:v>
      </x:c>
      <x:c r="B8" t="n">
        <x:f>VALUE('Sheet2'!B8)</x:f>
        <x:v>0.9971</x:v>
      </x:c>
      <x:c r="C8" t="n">
        <x:f>VALUE('Sheet2'!C8)</x:f>
        <x:v>0.9813</x:v>
      </x:c>
      <x:c r="D8" t="n">
        <x:f>IFERROR(B8/B7-1,"")</x:f>
        <x:v>-0.006179607295923595</x:v>
      </x:c>
      <x:c r="E8" t="n">
        <x:f>IFERROR(C8/C7-1,"")</x:f>
        <x:v>-0.025037257824143122</x:v>
      </x:c>
      <x:c r="F8" t="n">
        <x:f>IFERROR(D8-E8,"")</x:f>
        <x:v>0.018857650528219527</x:v>
      </x:c>
      <x:c r="G8" t="n">
        <x:f>MAX($B$2:B8)</x:f>
        <x:v>1.0033</x:v>
      </x:c>
      <x:c r="H8" t="n">
        <x:f>IFERROR(B8/G8-1,"")</x:f>
        <x:v>-0.006179607295923595</x:v>
      </x:c>
      <x:c r="I8" t="n">
        <x:f>MAX($C$2:C8)</x:f>
        <x:v>1.0065</x:v>
      </x:c>
      <x:c r="J8" t="n">
        <x:f>IFERROR(C8/I8-1,"")</x:f>
        <x:v>-0.025037257824143122</x:v>
      </x:c>
      <x:c r="K8" t="n">
        <x:f>MAX(ABS(VALUE('Sheet2'!D8)-VALUE('Sheet2'!D7)),ABS(VALUE('Sheet2'!E8)-VALUE('Sheet2'!E7)),ABS(VALUE('Sheet2'!F8)-VALUE('Sheet2'!F7)),ABS(VALUE('Sheet2'!G8)-VALUE('Sheet2'!G7)),ABS(VALUE('Sheet2'!H8)-VALUE('Sheet2'!H7)),ABS(VALUE('Sheet2'!I8)-VALUE('Sheet2'!I7)),ABS(VALUE('Sheet2'!J8)-VALUE('Sheet2'!J7)),ABS(VALUE('Sheet2'!K8)-VALUE('Sheet2'!K7)),ABS(VALUE('Sheet2'!L8)-VALUE('Sheet2'!L7)),ABS(VALUE('Sheet2'!M8)-VALUE('Sheet2'!M7)),ABS(VALUE('Sheet2'!N8)-VALUE('Sheet2'!N7)),ABS(VALUE('Sheet2'!O8)-VALUE('Sheet2'!O7)),ABS(VALUE('Sheet2'!P8)-VALUE('Sheet2'!P7)))</x:f>
        <x:v>0.049199999999999994</x:v>
      </x:c>
      <x:c r="L8" t="n">
        <x:f>SUM(ABS(VALUE('Sheet2'!D8)-VALUE('Sheet2'!D7)),ABS(VALUE('Sheet2'!E8)-VALUE('Sheet2'!E7)),ABS(VALUE('Sheet2'!F8)-VALUE('Sheet2'!F7)),ABS(VALUE('Sheet2'!G8)-VALUE('Sheet2'!G7)),ABS(VALUE('Sheet2'!H8)-VALUE('Sheet2'!H7)),ABS(VALUE('Sheet2'!I8)-VALUE('Sheet2'!I7)),ABS(VALUE('Sheet2'!J8)-VALUE('Sheet2'!J7)),ABS(VALUE('Sheet2'!K8)-VALUE('Sheet2'!K7)),ABS(VALUE('Sheet2'!L8)-VALUE('Sheet2'!L7)),ABS(VALUE('Sheet2'!M8)-VALUE('Sheet2'!M7)),ABS(VALUE('Sheet2'!N8)-VALUE('Sheet2'!N7)),ABS(VALUE('Sheet2'!O8)-VALUE('Sheet2'!O7)),ABS(VALUE('Sheet2'!P8)-VALUE('Sheet2'!P7)))/2</x:f>
        <x:v>0.04929999999999998</x:v>
      </x:c>
      <x:c r="M8" t="n">
        <x:f>SUMSQ('Sheet2'!D8:P8)</x:f>
        <x:v>0.22669762000000002</x:v>
      </x:c>
      <x:c r="N8" t="n">
        <x:f>VALUE('Sheet2'!D8)</x:f>
        <x:v>0.1984</x:v>
      </x:c>
    </x:row>
    <x:row r="9">
      <x:c r="A9" t="str">
        <x:f>'Sheet2'!A9</x:f>
        <x:v>2023-06-30</x:v>
      </x:c>
      <x:c r="B9" t="n">
        <x:f>VALUE('Sheet2'!B9)</x:f>
        <x:v>1.0009</x:v>
      </x:c>
      <x:c r="C9" t="n">
        <x:f>VALUE('Sheet2'!C9)</x:f>
        <x:v>0.9758</x:v>
      </x:c>
      <x:c r="D9" t="n">
        <x:f>IFERROR(B9/B8-1,"")</x:f>
        <x:v>0.003811052050947561</x:v>
      </x:c>
      <x:c r="E9" t="n">
        <x:f>IFERROR(C9/C8-1,"")</x:f>
        <x:v>-0.005604809945989997</x:v>
      </x:c>
      <x:c r="F9" t="n">
        <x:f>IFERROR(D9-E9,"")</x:f>
        <x:v>0.009415861996937558</x:v>
      </x:c>
      <x:c r="G9" t="n">
        <x:f>MAX($B$2:B9)</x:f>
        <x:v>1.0033</x:v>
      </x:c>
      <x:c r="H9" t="n">
        <x:f>IFERROR(B9/G9-1,"")</x:f>
        <x:v>-0.0023921060500350366</x:v>
      </x:c>
      <x:c r="I9" t="n">
        <x:f>MAX($C$2:C9)</x:f>
        <x:v>1.0065</x:v>
      </x:c>
      <x:c r="J9" t="n">
        <x:f>IFERROR(C9/I9-1,"")</x:f>
        <x:v>-0.030501738698459957</x:v>
      </x:c>
      <x:c r="K9" t="n">
        <x:f>MAX(ABS(VALUE('Sheet2'!D9)-VALUE('Sheet2'!D8)),ABS(VALUE('Sheet2'!E9)-VALUE('Sheet2'!E8)),ABS(VALUE('Sheet2'!F9)-VALUE('Sheet2'!F8)),ABS(VALUE('Sheet2'!G9)-VALUE('Sheet2'!G8)),ABS(VALUE('Sheet2'!H9)-VALUE('Sheet2'!H8)),ABS(VALUE('Sheet2'!I9)-VALUE('Sheet2'!I8)),ABS(VALUE('Sheet2'!J9)-VALUE('Sheet2'!J8)),ABS(VALUE('Sheet2'!K9)-VALUE('Sheet2'!K8)),ABS(VALUE('Sheet2'!L9)-VALUE('Sheet2'!L8)),ABS(VALUE('Sheet2'!M9)-VALUE('Sheet2'!M8)),ABS(VALUE('Sheet2'!N9)-VALUE('Sheet2'!N8)),ABS(VALUE('Sheet2'!O9)-VALUE('Sheet2'!O8)),ABS(VALUE('Sheet2'!P9)-VALUE('Sheet2'!P8)))</x:f>
        <x:v>0.002599999999999991</x:v>
      </x:c>
      <x:c r="L9" t="n">
        <x:f>SUM(ABS(VALUE('Sheet2'!D9)-VALUE('Sheet2'!D8)),ABS(VALUE('Sheet2'!E9)-VALUE('Sheet2'!E8)),ABS(VALUE('Sheet2'!F9)-VALUE('Sheet2'!F8)),ABS(VALUE('Sheet2'!G9)-VALUE('Sheet2'!G8)),ABS(VALUE('Sheet2'!H9)-VALUE('Sheet2'!H8)),ABS(VALUE('Sheet2'!I9)-VALUE('Sheet2'!I8)),ABS(VALUE('Sheet2'!J9)-VALUE('Sheet2'!J8)),ABS(VALUE('Sheet2'!K9)-VALUE('Sheet2'!K8)),ABS(VALUE('Sheet2'!L9)-VALUE('Sheet2'!L8)),ABS(VALUE('Sheet2'!M9)-VALUE('Sheet2'!M8)),ABS(VALUE('Sheet2'!N9)-VALUE('Sheet2'!N8)),ABS(VALUE('Sheet2'!O9)-VALUE('Sheet2'!O8)),ABS(VALUE('Sheet2'!P9)-VALUE('Sheet2'!P8)))/2</x:f>
        <x:v>0.0036500000000000074</x:v>
      </x:c>
      <x:c r="M9" t="n">
        <x:f>SUMSQ('Sheet2'!D9:P9)</x:f>
        <x:v>0.22766342999999997</x:v>
      </x:c>
      <x:c r="N9" t="n">
        <x:f>VALUE('Sheet2'!D9)</x:f>
        <x:v>0.1972</x:v>
      </x:c>
    </x:row>
    <x:row r="10">
      <x:c r="A10" t="str">
        <x:f>'Sheet2'!A10</x:f>
        <x:v>2023-07-07</x:v>
      </x:c>
      <x:c r="B10" t="n">
        <x:f>VALUE('Sheet2'!B10)</x:f>
        <x:v>1.0021</x:v>
      </x:c>
      <x:c r="C10" t="n">
        <x:f>VALUE('Sheet2'!C10)</x:f>
        <x:v>0.9715</x:v>
      </x:c>
      <x:c r="D10" t="n">
        <x:f>IFERROR(B10/B9-1,"")</x:f>
        <x:v>0.0011989209711260607</x:v>
      </x:c>
      <x:c r="E10" t="n">
        <x:f>IFERROR(C10/C9-1,"")</x:f>
        <x:v>-0.00440664070506247</x:v>
      </x:c>
      <x:c r="F10" t="n">
        <x:f>IFERROR(D10-E10,"")</x:f>
        <x:v>0.005605561676188531</x:v>
      </x:c>
      <x:c r="G10" t="n">
        <x:f>MAX($B$2:B10)</x:f>
        <x:v>1.0033</x:v>
      </x:c>
      <x:c r="H10" t="n">
        <x:f>IFERROR(B10/G10-1,"")</x:f>
        <x:v>-0.0011960530250175738</x:v>
      </x:c>
      <x:c r="I10" t="n">
        <x:f>MAX($C$2:C10)</x:f>
        <x:v>1.0065</x:v>
      </x:c>
      <x:c r="J10" t="n">
        <x:f>IFERROR(C10/I10-1,"")</x:f>
        <x:v>-0.034773969200198596</x:v>
      </x:c>
      <x:c r="K10" t="n">
        <x:f>MAX(ABS(VALUE('Sheet2'!D10)-VALUE('Sheet2'!D9)),ABS(VALUE('Sheet2'!E10)-VALUE('Sheet2'!E9)),ABS(VALUE('Sheet2'!F10)-VALUE('Sheet2'!F9)),ABS(VALUE('Sheet2'!G10)-VALUE('Sheet2'!G9)),ABS(VALUE('Sheet2'!H10)-VALUE('Sheet2'!H9)),ABS(VALUE('Sheet2'!I10)-VALUE('Sheet2'!I9)),ABS(VALUE('Sheet2'!J10)-VALUE('Sheet2'!J9)),ABS(VALUE('Sheet2'!K10)-VALUE('Sheet2'!K9)),ABS(VALUE('Sheet2'!L10)-VALUE('Sheet2'!L9)),ABS(VALUE('Sheet2'!M10)-VALUE('Sheet2'!M9)),ABS(VALUE('Sheet2'!N10)-VALUE('Sheet2'!N9)),ABS(VALUE('Sheet2'!O10)-VALUE('Sheet2'!O9)),ABS(VALUE('Sheet2'!P10)-VALUE('Sheet2'!P9)))</x:f>
        <x:v>0.005400000000000002</x:v>
      </x:c>
      <x:c r="L10" t="n">
        <x:f>SUM(ABS(VALUE('Sheet2'!D10)-VALUE('Sheet2'!D9)),ABS(VALUE('Sheet2'!E10)-VALUE('Sheet2'!E9)),ABS(VALUE('Sheet2'!F10)-VALUE('Sheet2'!F9)),ABS(VALUE('Sheet2'!G10)-VALUE('Sheet2'!G9)),ABS(VALUE('Sheet2'!H10)-VALUE('Sheet2'!H9)),ABS(VALUE('Sheet2'!I10)-VALUE('Sheet2'!I9)),ABS(VALUE('Sheet2'!J10)-VALUE('Sheet2'!J9)),ABS(VALUE('Sheet2'!K10)-VALUE('Sheet2'!K9)),ABS(VALUE('Sheet2'!L10)-VALUE('Sheet2'!L9)),ABS(VALUE('Sheet2'!M10)-VALUE('Sheet2'!M9)),ABS(VALUE('Sheet2'!N10)-VALUE('Sheet2'!N9)),ABS(VALUE('Sheet2'!O10)-VALUE('Sheet2'!O9)),ABS(VALUE('Sheet2'!P10)-VALUE('Sheet2'!P9)))/2</x:f>
        <x:v>0.007899999999999973</x:v>
      </x:c>
      <x:c r="M10" t="n">
        <x:f>SUMSQ('Sheet2'!D10:P10)</x:f>
        <x:v>0.22748451000000003</x:v>
      </x:c>
      <x:c r="N10" t="n">
        <x:f>VALUE('Sheet2'!D10)</x:f>
        <x:v>0.2024</x:v>
      </x:c>
    </x:row>
    <x:row r="11">
      <x:c r="A11" t="str">
        <x:f>'Sheet2'!A11</x:f>
        <x:v>2023-07-14</x:v>
      </x:c>
      <x:c r="B11" t="n">
        <x:f>VALUE('Sheet2'!B11)</x:f>
        <x:v>1.0073</x:v>
      </x:c>
      <x:c r="C11" t="n">
        <x:f>VALUE('Sheet2'!C11)</x:f>
        <x:v>0.9902</x:v>
      </x:c>
      <x:c r="D11" t="n">
        <x:f>IFERROR(B11/B10-1,"")</x:f>
        <x:v>0.005189102883943919</x:v>
      </x:c>
      <x:c r="E11" t="n">
        <x:f>IFERROR(C11/C10-1,"")</x:f>
        <x:v>0.019248584662892476</x:v>
      </x:c>
      <x:c r="F11" t="n">
        <x:f>IFERROR(D11-E11,"")</x:f>
        <x:v>-0.014059481778948557</x:v>
      </x:c>
      <x:c r="G11" t="n">
        <x:f>MAX($B$2:B11)</x:f>
        <x:v>1.0073</x:v>
      </x:c>
      <x:c r="H11" t="n">
        <x:f>IFERROR(B11/G11-1,"")</x:f>
        <x:v>0</x:v>
      </x:c>
      <x:c r="I11" t="n">
        <x:f>MAX($C$2:C11)</x:f>
        <x:v>1.0065</x:v>
      </x:c>
      <x:c r="J11" t="n">
        <x:f>IFERROR(C11/I11-1,"")</x:f>
        <x:v>-0.016194734227521046</x:v>
      </x:c>
      <x:c r="K11" t="n">
        <x:f>MAX(ABS(VALUE('Sheet2'!D11)-VALUE('Sheet2'!D10)),ABS(VALUE('Sheet2'!E11)-VALUE('Sheet2'!E10)),ABS(VALUE('Sheet2'!F11)-VALUE('Sheet2'!F10)),ABS(VALUE('Sheet2'!G11)-VALUE('Sheet2'!G10)),ABS(VALUE('Sheet2'!H11)-VALUE('Sheet2'!H10)),ABS(VALUE('Sheet2'!I11)-VALUE('Sheet2'!I10)),ABS(VALUE('Sheet2'!J11)-VALUE('Sheet2'!J10)),ABS(VALUE('Sheet2'!K11)-VALUE('Sheet2'!K10)),ABS(VALUE('Sheet2'!L11)-VALUE('Sheet2'!L10)),ABS(VALUE('Sheet2'!M11)-VALUE('Sheet2'!M10)),ABS(VALUE('Sheet2'!N11)-VALUE('Sheet2'!N10)),ABS(VALUE('Sheet2'!O11)-VALUE('Sheet2'!O10)),ABS(VALUE('Sheet2'!P11)-VALUE('Sheet2'!P10)))</x:f>
        <x:v>0.056599999999999984</x:v>
      </x:c>
      <x:c r="L11" t="n">
        <x:f>SUM(ABS(VALUE('Sheet2'!D11)-VALUE('Sheet2'!D10)),ABS(VALUE('Sheet2'!E11)-VALUE('Sheet2'!E10)),ABS(VALUE('Sheet2'!F11)-VALUE('Sheet2'!F10)),ABS(VALUE('Sheet2'!G11)-VALUE('Sheet2'!G10)),ABS(VALUE('Sheet2'!H11)-VALUE('Sheet2'!H10)),ABS(VALUE('Sheet2'!I11)-VALUE('Sheet2'!I10)),ABS(VALUE('Sheet2'!J11)-VALUE('Sheet2'!J10)),ABS(VALUE('Sheet2'!K11)-VALUE('Sheet2'!K10)),ABS(VALUE('Sheet2'!L11)-VALUE('Sheet2'!L10)),ABS(VALUE('Sheet2'!M11)-VALUE('Sheet2'!M10)),ABS(VALUE('Sheet2'!N11)-VALUE('Sheet2'!N10)),ABS(VALUE('Sheet2'!O11)-VALUE('Sheet2'!O10)),ABS(VALUE('Sheet2'!P11)-VALUE('Sheet2'!P10)))/2</x:f>
        <x:v>0.05754999999999999</x:v>
      </x:c>
      <x:c r="M11" t="n">
        <x:f>SUMSQ('Sheet2'!D11:P11)</x:f>
        <x:v>0.21231648</x:v>
      </x:c>
      <x:c r="N11" t="n">
        <x:f>VALUE('Sheet2'!D11)</x:f>
        <x:v>0.1458</x:v>
      </x:c>
    </x:row>
    <x:row r="12">
      <x:c r="A12" t="str">
        <x:f>'Sheet2'!A12</x:f>
        <x:v>2023-07-21</x:v>
      </x:c>
      <x:c r="B12" t="n">
        <x:f>VALUE('Sheet2'!B12)</x:f>
        <x:v>0.9977</x:v>
      </x:c>
      <x:c r="C12" t="n">
        <x:f>VALUE('Sheet2'!C12)</x:f>
        <x:v>0.9706</x:v>
      </x:c>
      <x:c r="D12" t="n">
        <x:f>IFERROR(B12/B11-1,"")</x:f>
        <x:v>-0.009530427876501602</x:v>
      </x:c>
      <x:c r="E12" t="n">
        <x:f>IFERROR(C12/C11-1,"")</x:f>
        <x:v>-0.01979398101393648</x:v>
      </x:c>
      <x:c r="F12" t="n">
        <x:f>IFERROR(D12-E12,"")</x:f>
        <x:v>0.010263553137434878</x:v>
      </x:c>
      <x:c r="G12" t="n">
        <x:f>MAX($B$2:B12)</x:f>
        <x:v>1.0073</x:v>
      </x:c>
      <x:c r="H12" t="n">
        <x:f>IFERROR(B12/G12-1,"")</x:f>
        <x:v>-0.009530427876501602</x:v>
      </x:c>
      <x:c r="I12" t="n">
        <x:f>MAX($C$2:C12)</x:f>
        <x:v>1.0065</x:v>
      </x:c>
      <x:c r="J12" t="n">
        <x:f>IFERROR(C12/I12-1,"")</x:f>
        <x:v>-0.035668156979632326</x:v>
      </x:c>
      <x:c r="K12" t="n">
        <x:f>MAX(ABS(VALUE('Sheet2'!D12)-VALUE('Sheet2'!D11)),ABS(VALUE('Sheet2'!E12)-VALUE('Sheet2'!E11)),ABS(VALUE('Sheet2'!F12)-VALUE('Sheet2'!F11)),ABS(VALUE('Sheet2'!G12)-VALUE('Sheet2'!G11)),ABS(VALUE('Sheet2'!H12)-VALUE('Sheet2'!H11)),ABS(VALUE('Sheet2'!I12)-VALUE('Sheet2'!I11)),ABS(VALUE('Sheet2'!J12)-VALUE('Sheet2'!J11)),ABS(VALUE('Sheet2'!K12)-VALUE('Sheet2'!K11)),ABS(VALUE('Sheet2'!L12)-VALUE('Sheet2'!L11)),ABS(VALUE('Sheet2'!M12)-VALUE('Sheet2'!M11)),ABS(VALUE('Sheet2'!N12)-VALUE('Sheet2'!N11)),ABS(VALUE('Sheet2'!O12)-VALUE('Sheet2'!O11)),ABS(VALUE('Sheet2'!P12)-VALUE('Sheet2'!P11)))</x:f>
        <x:v>0.0031999999999999806</x:v>
      </x:c>
      <x:c r="L12" t="n">
        <x:f>SUM(ABS(VALUE('Sheet2'!D12)-VALUE('Sheet2'!D11)),ABS(VALUE('Sheet2'!E12)-VALUE('Sheet2'!E11)),ABS(VALUE('Sheet2'!F12)-VALUE('Sheet2'!F11)),ABS(VALUE('Sheet2'!G12)-VALUE('Sheet2'!G11)),ABS(VALUE('Sheet2'!H12)-VALUE('Sheet2'!H11)),ABS(VALUE('Sheet2'!I12)-VALUE('Sheet2'!I11)),ABS(VALUE('Sheet2'!J12)-VALUE('Sheet2'!J11)),ABS(VALUE('Sheet2'!K12)-VALUE('Sheet2'!K11)),ABS(VALUE('Sheet2'!L12)-VALUE('Sheet2'!L11)),ABS(VALUE('Sheet2'!M12)-VALUE('Sheet2'!M11)),ABS(VALUE('Sheet2'!N12)-VALUE('Sheet2'!N11)),ABS(VALUE('Sheet2'!O12)-VALUE('Sheet2'!O11)),ABS(VALUE('Sheet2'!P12)-VALUE('Sheet2'!P11)))/2</x:f>
        <x:v>0.00474999999999999</x:v>
      </x:c>
      <x:c r="M12" t="n">
        <x:f>SUMSQ('Sheet2'!D12:P12)</x:f>
        <x:v>0.21126679</x:v>
      </x:c>
      <x:c r="N12" t="n">
        <x:f>VALUE('Sheet2'!D12)</x:f>
        <x:v>0.1469</x:v>
      </x:c>
    </x:row>
    <x:row r="13">
      <x:c r="A13" t="str">
        <x:f>'Sheet2'!A13</x:f>
        <x:v>2023-07-28</x:v>
      </x:c>
      <x:c r="B13" t="n">
        <x:f>VALUE('Sheet2'!B13)</x:f>
        <x:v>1.0057</x:v>
      </x:c>
      <x:c r="C13" t="n">
        <x:f>VALUE('Sheet2'!C13)</x:f>
        <x:v>1.014</x:v>
      </x:c>
      <x:c r="D13" t="n">
        <x:f>IFERROR(B13/B12-1,"")</x:f>
        <x:v>0.008018442417560445</x:v>
      </x:c>
      <x:c r="E13" t="n">
        <x:f>IFERROR(C13/C12-1,"")</x:f>
        <x:v>0.04471460951988471</x:v>
      </x:c>
      <x:c r="F13" t="n">
        <x:f>IFERROR(D13-E13,"")</x:f>
        <x:v>-0.03669616710232426</x:v>
      </x:c>
      <x:c r="G13" t="n">
        <x:f>MAX($B$2:B13)</x:f>
        <x:v>1.0073</x:v>
      </x:c>
      <x:c r="H13" t="n">
        <x:f>IFERROR(B13/G13-1,"")</x:f>
        <x:v>-0.0015884046460836743</x:v>
      </x:c>
      <x:c r="I13" t="n">
        <x:f>MAX($C$2:C13)</x:f>
        <x:v>1.014</x:v>
      </x:c>
      <x:c r="J13" t="n">
        <x:f>IFERROR(C13/I13-1,"")</x:f>
        <x:v>0</x:v>
      </x:c>
      <x:c r="K13" t="n">
        <x:f>MAX(ABS(VALUE('Sheet2'!D13)-VALUE('Sheet2'!D12)),ABS(VALUE('Sheet2'!E13)-VALUE('Sheet2'!E12)),ABS(VALUE('Sheet2'!F13)-VALUE('Sheet2'!F12)),ABS(VALUE('Sheet2'!G13)-VALUE('Sheet2'!G12)),ABS(VALUE('Sheet2'!H13)-VALUE('Sheet2'!H12)),ABS(VALUE('Sheet2'!I13)-VALUE('Sheet2'!I12)),ABS(VALUE('Sheet2'!J13)-VALUE('Sheet2'!J12)),ABS(VALUE('Sheet2'!K13)-VALUE('Sheet2'!K12)),ABS(VALUE('Sheet2'!L13)-VALUE('Sheet2'!L12)),ABS(VALUE('Sheet2'!M13)-VALUE('Sheet2'!M12)),ABS(VALUE('Sheet2'!N13)-VALUE('Sheet2'!N12)),ABS(VALUE('Sheet2'!O13)-VALUE('Sheet2'!O12)),ABS(VALUE('Sheet2'!P13)-VALUE('Sheet2'!P12)))</x:f>
        <x:v>0.1014</x:v>
      </x:c>
      <x:c r="L13" t="n">
        <x:f>SUM(ABS(VALUE('Sheet2'!D13)-VALUE('Sheet2'!D12)),ABS(VALUE('Sheet2'!E13)-VALUE('Sheet2'!E12)),ABS(VALUE('Sheet2'!F13)-VALUE('Sheet2'!F12)),ABS(VALUE('Sheet2'!G13)-VALUE('Sheet2'!G12)),ABS(VALUE('Sheet2'!H13)-VALUE('Sheet2'!H12)),ABS(VALUE('Sheet2'!I13)-VALUE('Sheet2'!I12)),ABS(VALUE('Sheet2'!J13)-VALUE('Sheet2'!J12)),ABS(VALUE('Sheet2'!K13)-VALUE('Sheet2'!K12)),ABS(VALUE('Sheet2'!L13)-VALUE('Sheet2'!L12)),ABS(VALUE('Sheet2'!M13)-VALUE('Sheet2'!M12)),ABS(VALUE('Sheet2'!N13)-VALUE('Sheet2'!N12)),ABS(VALUE('Sheet2'!O13)-VALUE('Sheet2'!O12)),ABS(VALUE('Sheet2'!P13)-VALUE('Sheet2'!P12)))/2</x:f>
        <x:v>0.10355</x:v>
      </x:c>
      <x:c r="M13" t="n">
        <x:f>SUMSQ('Sheet2'!D13:P13)</x:f>
        <x:v>0.20269650000000003</x:v>
      </x:c>
      <x:c r="N13" t="n">
        <x:f>VALUE('Sheet2'!D13)</x:f>
        <x:v>0.0455</x:v>
      </x:c>
    </x:row>
    <x:row r="14">
      <x:c r="A14" t="str">
        <x:f>'Sheet2'!A14</x:f>
        <x:v>2023-08-04</x:v>
      </x:c>
      <x:c r="B14" t="n">
        <x:f>VALUE('Sheet2'!B14)</x:f>
        <x:v>1.0115</x:v>
      </x:c>
      <x:c r="C14" t="n">
        <x:f>VALUE('Sheet2'!C14)</x:f>
        <x:v>1.021</x:v>
      </x:c>
      <x:c r="D14" t="n">
        <x:f>IFERROR(B14/B13-1,"")</x:f>
        <x:v>0.005767127373968339</x:v>
      </x:c>
      <x:c r="E14" t="n">
        <x:f>IFERROR(C14/C13-1,"")</x:f>
        <x:v>0.006903353057199135</x:v>
      </x:c>
      <x:c r="F14" t="n">
        <x:f>IFERROR(D14-E14,"")</x:f>
        <x:v>-0.001136225683230796</x:v>
      </x:c>
      <x:c r="G14" t="n">
        <x:f>MAX($B$2:B14)</x:f>
        <x:v>1.0115</x:v>
      </x:c>
      <x:c r="H14" t="n">
        <x:f>IFERROR(B14/G14-1,"")</x:f>
        <x:v>0</x:v>
      </x:c>
      <x:c r="I14" t="n">
        <x:f>MAX($C$2:C14)</x:f>
        <x:v>1.021</x:v>
      </x:c>
      <x:c r="J14" t="n">
        <x:f>IFERROR(C14/I14-1,"")</x:f>
        <x:v>0</x:v>
      </x:c>
      <x:c r="K14" t="n">
        <x:f>MAX(ABS(VALUE('Sheet2'!D14)-VALUE('Sheet2'!D13)),ABS(VALUE('Sheet2'!E14)-VALUE('Sheet2'!E13)),ABS(VALUE('Sheet2'!F14)-VALUE('Sheet2'!F13)),ABS(VALUE('Sheet2'!G14)-VALUE('Sheet2'!G13)),ABS(VALUE('Sheet2'!H14)-VALUE('Sheet2'!H13)),ABS(VALUE('Sheet2'!I14)-VALUE('Sheet2'!I13)),ABS(VALUE('Sheet2'!J14)-VALUE('Sheet2'!J13)),ABS(VALUE('Sheet2'!K14)-VALUE('Sheet2'!K13)),ABS(VALUE('Sheet2'!L14)-VALUE('Sheet2'!L13)),ABS(VALUE('Sheet2'!M14)-VALUE('Sheet2'!M13)),ABS(VALUE('Sheet2'!N14)-VALUE('Sheet2'!N13)),ABS(VALUE('Sheet2'!O14)-VALUE('Sheet2'!O13)),ABS(VALUE('Sheet2'!P14)-VALUE('Sheet2'!P13)))</x:f>
        <x:v>0.1995</x:v>
      </x:c>
      <x:c r="L14" t="n">
        <x:f>SUM(ABS(VALUE('Sheet2'!D14)-VALUE('Sheet2'!D13)),ABS(VALUE('Sheet2'!E14)-VALUE('Sheet2'!E13)),ABS(VALUE('Sheet2'!F14)-VALUE('Sheet2'!F13)),ABS(VALUE('Sheet2'!G14)-VALUE('Sheet2'!G13)),ABS(VALUE('Sheet2'!H14)-VALUE('Sheet2'!H13)),ABS(VALUE('Sheet2'!I14)-VALUE('Sheet2'!I13)),ABS(VALUE('Sheet2'!J14)-VALUE('Sheet2'!J13)),ABS(VALUE('Sheet2'!K14)-VALUE('Sheet2'!K13)),ABS(VALUE('Sheet2'!L14)-VALUE('Sheet2'!L13)),ABS(VALUE('Sheet2'!M14)-VALUE('Sheet2'!M13)),ABS(VALUE('Sheet2'!N14)-VALUE('Sheet2'!N13)),ABS(VALUE('Sheet2'!O14)-VALUE('Sheet2'!O13)),ABS(VALUE('Sheet2'!P14)-VALUE('Sheet2'!P13)))/2</x:f>
        <x:v>0.20020000000000002</x:v>
      </x:c>
      <x:c r="M14" t="n">
        <x:f>SUMSQ('Sheet2'!D14:P14)</x:f>
        <x:v>0.23134764</x:v>
      </x:c>
      <x:c r="N14" t="n">
        <x:f>VALUE('Sheet2'!D14)</x:f>
        <x:v>0.2087</x:v>
      </x:c>
    </x:row>
    <x:row r="15">
      <x:c r="A15" t="str">
        <x:f>'Sheet2'!A15</x:f>
        <x:v>2023-08-11</x:v>
      </x:c>
      <x:c r="B15" t="n">
        <x:f>VALUE('Sheet2'!B15)</x:f>
        <x:v>0.9934</x:v>
      </x:c>
      <x:c r="C15" t="n">
        <x:f>VALUE('Sheet2'!C15)</x:f>
        <x:v>0.9864</x:v>
      </x:c>
      <x:c r="D15" t="n">
        <x:f>IFERROR(B15/B14-1,"")</x:f>
        <x:v>-0.017894216510133565</x:v>
      </x:c>
      <x:c r="E15" t="n">
        <x:f>IFERROR(C15/C14-1,"")</x:f>
        <x:v>-0.03388834476003899</x:v>
      </x:c>
      <x:c r="F15" t="n">
        <x:f>IFERROR(D15-E15,"")</x:f>
        <x:v>0.015994128249905426</x:v>
      </x:c>
      <x:c r="G15" t="n">
        <x:f>MAX($B$2:B15)</x:f>
        <x:v>1.0115</x:v>
      </x:c>
      <x:c r="H15" t="n">
        <x:f>IFERROR(B15/G15-1,"")</x:f>
        <x:v>-0.017894216510133565</x:v>
      </x:c>
      <x:c r="I15" t="n">
        <x:f>MAX($C$2:C15)</x:f>
        <x:v>1.021</x:v>
      </x:c>
      <x:c r="J15" t="n">
        <x:f>IFERROR(C15/I15-1,"")</x:f>
        <x:v>-0.03388834476003899</x:v>
      </x:c>
      <x:c r="K15" t="n">
        <x:f>MAX(ABS(VALUE('Sheet2'!D15)-VALUE('Sheet2'!D14)),ABS(VALUE('Sheet2'!E15)-VALUE('Sheet2'!E14)),ABS(VALUE('Sheet2'!F15)-VALUE('Sheet2'!F14)),ABS(VALUE('Sheet2'!G15)-VALUE('Sheet2'!G14)),ABS(VALUE('Sheet2'!H15)-VALUE('Sheet2'!H14)),ABS(VALUE('Sheet2'!I15)-VALUE('Sheet2'!I14)),ABS(VALUE('Sheet2'!J15)-VALUE('Sheet2'!J14)),ABS(VALUE('Sheet2'!K15)-VALUE('Sheet2'!K14)),ABS(VALUE('Sheet2'!L15)-VALUE('Sheet2'!L14)),ABS(VALUE('Sheet2'!M15)-VALUE('Sheet2'!M14)),ABS(VALUE('Sheet2'!N15)-VALUE('Sheet2'!N14)),ABS(VALUE('Sheet2'!O15)-VALUE('Sheet2'!O14)),ABS(VALUE('Sheet2'!P15)-VALUE('Sheet2'!P14)))</x:f>
        <x:v>0.004500000000000004</x:v>
      </x:c>
      <x:c r="L15" t="n">
        <x:f>SUM(ABS(VALUE('Sheet2'!D15)-VALUE('Sheet2'!D14)),ABS(VALUE('Sheet2'!E15)-VALUE('Sheet2'!E14)),ABS(VALUE('Sheet2'!F15)-VALUE('Sheet2'!F14)),ABS(VALUE('Sheet2'!G15)-VALUE('Sheet2'!G14)),ABS(VALUE('Sheet2'!H15)-VALUE('Sheet2'!H14)),ABS(VALUE('Sheet2'!I15)-VALUE('Sheet2'!I14)),ABS(VALUE('Sheet2'!J15)-VALUE('Sheet2'!J14)),ABS(VALUE('Sheet2'!K15)-VALUE('Sheet2'!K14)),ABS(VALUE('Sheet2'!L15)-VALUE('Sheet2'!L14)),ABS(VALUE('Sheet2'!M15)-VALUE('Sheet2'!M14)),ABS(VALUE('Sheet2'!N15)-VALUE('Sheet2'!N14)),ABS(VALUE('Sheet2'!O15)-VALUE('Sheet2'!O14)),ABS(VALUE('Sheet2'!P15)-VALUE('Sheet2'!P14)))/2</x:f>
        <x:v>0.0058499999999999976</x:v>
      </x:c>
      <x:c r="M15" t="n">
        <x:f>SUMSQ('Sheet2'!D15:P15)</x:f>
        <x:v>0.22953995000000002</x:v>
      </x:c>
      <x:c r="N15" t="n">
        <x:f>VALUE('Sheet2'!D15)</x:f>
        <x:v>0.2122</x:v>
      </x:c>
    </x:row>
    <x:row r="16">
      <x:c r="A16" t="str">
        <x:f>'Sheet2'!A16</x:f>
        <x:v>2023-08-18</x:v>
      </x:c>
      <x:c r="B16" t="n">
        <x:f>VALUE('Sheet2'!B16)</x:f>
        <x:v>0.9849</x:v>
      </x:c>
      <x:c r="C16" t="n">
        <x:f>VALUE('Sheet2'!C16)</x:f>
        <x:v>0.961</x:v>
      </x:c>
      <x:c r="D16" t="n">
        <x:f>IFERROR(B16/B15-1,"")</x:f>
        <x:v>-0.008556472719951635</x:v>
      </x:c>
      <x:c r="E16" t="n">
        <x:f>IFERROR(C16/C15-1,"")</x:f>
        <x:v>-0.025750202757502172</x:v>
      </x:c>
      <x:c r="F16" t="n">
        <x:f>IFERROR(D16-E16,"")</x:f>
        <x:v>0.017193730037550536</x:v>
      </x:c>
      <x:c r="G16" t="n">
        <x:f>MAX($B$2:B16)</x:f>
        <x:v>1.0115</x:v>
      </x:c>
      <x:c r="H16" t="n">
        <x:f>IFERROR(B16/G16-1,"")</x:f>
        <x:v>-0.02629757785467135</x:v>
      </x:c>
      <x:c r="I16" t="n">
        <x:f>MAX($C$2:C16)</x:f>
        <x:v>1.021</x:v>
      </x:c>
      <x:c r="J16" t="n">
        <x:f>IFERROR(C16/I16-1,"")</x:f>
        <x:v>-0.05876591576885404</x:v>
      </x:c>
      <x:c r="K16" t="n">
        <x:f>MAX(ABS(VALUE('Sheet2'!D16)-VALUE('Sheet2'!D15)),ABS(VALUE('Sheet2'!E16)-VALUE('Sheet2'!E15)),ABS(VALUE('Sheet2'!F16)-VALUE('Sheet2'!F15)),ABS(VALUE('Sheet2'!G16)-VALUE('Sheet2'!G15)),ABS(VALUE('Sheet2'!H16)-VALUE('Sheet2'!H15)),ABS(VALUE('Sheet2'!I16)-VALUE('Sheet2'!I15)),ABS(VALUE('Sheet2'!J16)-VALUE('Sheet2'!J15)),ABS(VALUE('Sheet2'!K16)-VALUE('Sheet2'!K15)),ABS(VALUE('Sheet2'!L16)-VALUE('Sheet2'!L15)),ABS(VALUE('Sheet2'!M16)-VALUE('Sheet2'!M15)),ABS(VALUE('Sheet2'!N16)-VALUE('Sheet2'!N15)),ABS(VALUE('Sheet2'!O16)-VALUE('Sheet2'!O15)),ABS(VALUE('Sheet2'!P16)-VALUE('Sheet2'!P15)))</x:f>
        <x:v>0.008599999999999997</x:v>
      </x:c>
      <x:c r="L16" t="n">
        <x:f>SUM(ABS(VALUE('Sheet2'!D16)-VALUE('Sheet2'!D15)),ABS(VALUE('Sheet2'!E16)-VALUE('Sheet2'!E15)),ABS(VALUE('Sheet2'!F16)-VALUE('Sheet2'!F15)),ABS(VALUE('Sheet2'!G16)-VALUE('Sheet2'!G15)),ABS(VALUE('Sheet2'!H16)-VALUE('Sheet2'!H15)),ABS(VALUE('Sheet2'!I16)-VALUE('Sheet2'!I15)),ABS(VALUE('Sheet2'!J16)-VALUE('Sheet2'!J15)),ABS(VALUE('Sheet2'!K16)-VALUE('Sheet2'!K15)),ABS(VALUE('Sheet2'!L16)-VALUE('Sheet2'!L15)),ABS(VALUE('Sheet2'!M16)-VALUE('Sheet2'!M15)),ABS(VALUE('Sheet2'!N16)-VALUE('Sheet2'!N15)),ABS(VALUE('Sheet2'!O16)-VALUE('Sheet2'!O15)),ABS(VALUE('Sheet2'!P16)-VALUE('Sheet2'!P15)))/2</x:f>
        <x:v>0.008849999999999983</x:v>
      </x:c>
      <x:c r="M16" t="n">
        <x:f>SUMSQ('Sheet2'!D16:P16)</x:f>
        <x:v>0.23188150000000002</x:v>
      </x:c>
      <x:c r="N16" t="n">
        <x:f>VALUE('Sheet2'!D16)</x:f>
        <x:v>0.2036</x:v>
      </x:c>
    </x:row>
    <x:row r="17">
      <x:c r="A17" t="str">
        <x:f>'Sheet2'!A17</x:f>
        <x:v>2023-08-25</x:v>
      </x:c>
      <x:c r="B17" t="n">
        <x:f>VALUE('Sheet2'!B17)</x:f>
        <x:v>0.9673</x:v>
      </x:c>
      <x:c r="C17" t="n">
        <x:f>VALUE('Sheet2'!C17)</x:f>
        <x:v>0.9419</x:v>
      </x:c>
      <x:c r="D17" t="n">
        <x:f>IFERROR(B17/B16-1,"")</x:f>
        <x:v>-0.017869834500964465</x:v>
      </x:c>
      <x:c r="E17" t="n">
        <x:f>IFERROR(C17/C16-1,"")</x:f>
        <x:v>-0.019875130072840808</x:v>
      </x:c>
      <x:c r="F17" t="n">
        <x:f>IFERROR(D17-E17,"")</x:f>
        <x:v>0.002005295571876342</x:v>
      </x:c>
      <x:c r="G17" t="n">
        <x:f>MAX($B$2:B17)</x:f>
        <x:v>1.0115</x:v>
      </x:c>
      <x:c r="H17" t="n">
        <x:f>IFERROR(B17/G17-1,"")</x:f>
        <x:v>-0.043697478991596705</x:v>
      </x:c>
      <x:c r="I17" t="n">
        <x:f>MAX($C$2:C17)</x:f>
        <x:v>1.021</x:v>
      </x:c>
      <x:c r="J17" t="n">
        <x:f>IFERROR(C17/I17-1,"")</x:f>
        <x:v>-0.07747306562193923</x:v>
      </x:c>
      <x:c r="K17" t="n">
        <x:f>MAX(ABS(VALUE('Sheet2'!D17)-VALUE('Sheet2'!D16)),ABS(VALUE('Sheet2'!E17)-VALUE('Sheet2'!E16)),ABS(VALUE('Sheet2'!F17)-VALUE('Sheet2'!F16)),ABS(VALUE('Sheet2'!G17)-VALUE('Sheet2'!G16)),ABS(VALUE('Sheet2'!H17)-VALUE('Sheet2'!H16)),ABS(VALUE('Sheet2'!I17)-VALUE('Sheet2'!I16)),ABS(VALUE('Sheet2'!J17)-VALUE('Sheet2'!J16)),ABS(VALUE('Sheet2'!K17)-VALUE('Sheet2'!K16)),ABS(VALUE('Sheet2'!L17)-VALUE('Sheet2'!L16)),ABS(VALUE('Sheet2'!M17)-VALUE('Sheet2'!M16)),ABS(VALUE('Sheet2'!N17)-VALUE('Sheet2'!N16)),ABS(VALUE('Sheet2'!O17)-VALUE('Sheet2'!O16)),ABS(VALUE('Sheet2'!P17)-VALUE('Sheet2'!P16)))</x:f>
        <x:v>0.005500000000000005</x:v>
      </x:c>
      <x:c r="L17" t="n">
        <x:f>SUM(ABS(VALUE('Sheet2'!D17)-VALUE('Sheet2'!D16)),ABS(VALUE('Sheet2'!E17)-VALUE('Sheet2'!E16)),ABS(VALUE('Sheet2'!F17)-VALUE('Sheet2'!F16)),ABS(VALUE('Sheet2'!G17)-VALUE('Sheet2'!G16)),ABS(VALUE('Sheet2'!H17)-VALUE('Sheet2'!H16)),ABS(VALUE('Sheet2'!I17)-VALUE('Sheet2'!I16)),ABS(VALUE('Sheet2'!J17)-VALUE('Sheet2'!J16)),ABS(VALUE('Sheet2'!K17)-VALUE('Sheet2'!K16)),ABS(VALUE('Sheet2'!L17)-VALUE('Sheet2'!L16)),ABS(VALUE('Sheet2'!M17)-VALUE('Sheet2'!M16)),ABS(VALUE('Sheet2'!N17)-VALUE('Sheet2'!N16)),ABS(VALUE('Sheet2'!O17)-VALUE('Sheet2'!O16)),ABS(VALUE('Sheet2'!P17)-VALUE('Sheet2'!P16)))/2</x:f>
        <x:v>0.007599999999999992</x:v>
      </x:c>
      <x:c r="M17" t="n">
        <x:f>SUMSQ('Sheet2'!D17:P17)</x:f>
        <x:v>0.22945678</x:v>
      </x:c>
      <x:c r="N17" t="n">
        <x:f>VALUE('Sheet2'!D17)</x:f>
        <x:v>0.207</x:v>
      </x:c>
    </x:row>
    <x:row r="18">
      <x:c r="A18" t="str">
        <x:f>'Sheet2'!A18</x:f>
        <x:v>2023-08-31</x:v>
      </x:c>
      <x:c r="B18" t="n">
        <x:f>VALUE('Sheet2'!B18)</x:f>
        <x:v>0.9883</x:v>
      </x:c>
      <x:c r="C18" t="n">
        <x:f>VALUE('Sheet2'!C18)</x:f>
        <x:v>0.9562</x:v>
      </x:c>
      <x:c r="D18" t="n">
        <x:f>IFERROR(B18/B17-1,"")</x:f>
        <x:v>0.021709914194148583</x:v>
      </x:c>
      <x:c r="E18" t="n">
        <x:f>IFERROR(C18/C17-1,"")</x:f>
        <x:v>0.015182078776940333</x:v>
      </x:c>
      <x:c r="F18" t="n">
        <x:f>IFERROR(D18-E18,"")</x:f>
        <x:v>0.00652783541720825</x:v>
      </x:c>
      <x:c r="G18" t="n">
        <x:f>MAX($B$2:B18)</x:f>
        <x:v>1.0115</x:v>
      </x:c>
      <x:c r="H18" t="n">
        <x:f>IFERROR(B18/G18-1,"")</x:f>
        <x:v>-0.022936233316856236</x:v>
      </x:c>
      <x:c r="I18" t="n">
        <x:f>MAX($C$2:C18)</x:f>
        <x:v>1.021</x:v>
      </x:c>
      <x:c r="J18" t="n">
        <x:f>IFERROR(C18/I18-1,"")</x:f>
        <x:v>-0.0634671890303623</x:v>
      </x:c>
      <x:c r="K18" t="n">
        <x:f>MAX(ABS(VALUE('Sheet2'!D18)-VALUE('Sheet2'!D17)),ABS(VALUE('Sheet2'!E18)-VALUE('Sheet2'!E17)),ABS(VALUE('Sheet2'!F18)-VALUE('Sheet2'!F17)),ABS(VALUE('Sheet2'!G18)-VALUE('Sheet2'!G17)),ABS(VALUE('Sheet2'!H18)-VALUE('Sheet2'!H17)),ABS(VALUE('Sheet2'!I18)-VALUE('Sheet2'!I17)),ABS(VALUE('Sheet2'!J18)-VALUE('Sheet2'!J17)),ABS(VALUE('Sheet2'!K18)-VALUE('Sheet2'!K17)),ABS(VALUE('Sheet2'!L18)-VALUE('Sheet2'!L17)),ABS(VALUE('Sheet2'!M18)-VALUE('Sheet2'!M17)),ABS(VALUE('Sheet2'!N18)-VALUE('Sheet2'!N17)),ABS(VALUE('Sheet2'!O18)-VALUE('Sheet2'!O17)),ABS(VALUE('Sheet2'!P18)-VALUE('Sheet2'!P17)))</x:f>
        <x:v>0.006299999999999972</x:v>
      </x:c>
      <x:c r="L18" t="n">
        <x:f>SUM(ABS(VALUE('Sheet2'!D18)-VALUE('Sheet2'!D17)),ABS(VALUE('Sheet2'!E18)-VALUE('Sheet2'!E17)),ABS(VALUE('Sheet2'!F18)-VALUE('Sheet2'!F17)),ABS(VALUE('Sheet2'!G18)-VALUE('Sheet2'!G17)),ABS(VALUE('Sheet2'!H18)-VALUE('Sheet2'!H17)),ABS(VALUE('Sheet2'!I18)-VALUE('Sheet2'!I17)),ABS(VALUE('Sheet2'!J18)-VALUE('Sheet2'!J17)),ABS(VALUE('Sheet2'!K18)-VALUE('Sheet2'!K17)),ABS(VALUE('Sheet2'!L18)-VALUE('Sheet2'!L17)),ABS(VALUE('Sheet2'!M18)-VALUE('Sheet2'!M17)),ABS(VALUE('Sheet2'!N18)-VALUE('Sheet2'!N17)),ABS(VALUE('Sheet2'!O18)-VALUE('Sheet2'!O17)),ABS(VALUE('Sheet2'!P18)-VALUE('Sheet2'!P17)))/2</x:f>
        <x:v>0.008499999999999976</x:v>
      </x:c>
      <x:c r="M18" t="n">
        <x:f>SUMSQ('Sheet2'!D18:P18)</x:f>
        <x:v>0.23208698</x:v>
      </x:c>
      <x:c r="N18" t="n">
        <x:f>VALUE('Sheet2'!D18)</x:f>
        <x:v>0.2023</x:v>
      </x:c>
    </x:row>
    <x:row r="19">
      <x:c r="A19" t="str">
        <x:f>'Sheet2'!A19</x:f>
        <x:v>2023-09-01</x:v>
      </x:c>
      <x:c r="B19" t="n">
        <x:f>VALUE('Sheet2'!B19)</x:f>
        <x:v>0.9912</x:v>
      </x:c>
      <x:c r="C19" t="n">
        <x:f>VALUE('Sheet2'!C19)</x:f>
        <x:v>0.9629</x:v>
      </x:c>
      <x:c r="D19" t="n">
        <x:f>IFERROR(B19/B18-1,"")</x:f>
        <x:v>0.0029343316806638153</x:v>
      </x:c>
      <x:c r="E19" t="n">
        <x:f>IFERROR(C19/C18-1,"")</x:f>
        <x:v>0.0070069023216898785</x:v>
      </x:c>
      <x:c r="F19" t="n">
        <x:f>IFERROR(D19-E19,"")</x:f>
        <x:v>-0.004072570641026063</x:v>
      </x:c>
      <x:c r="G19" t="n">
        <x:f>MAX($B$2:B19)</x:f>
        <x:v>1.0115</x:v>
      </x:c>
      <x:c r="H19" t="n">
        <x:f>IFERROR(B19/G19-1,"")</x:f>
        <x:v>-0.02006920415224922</x:v>
      </x:c>
      <x:c r="I19" t="n">
        <x:f>MAX($C$2:C19)</x:f>
        <x:v>1.021</x:v>
      </x:c>
      <x:c r="J19" t="n">
        <x:f>IFERROR(C19/I19-1,"")</x:f>
        <x:v>-0.056904995102840306</x:v>
      </x:c>
      <x:c r="K19" t="n">
        <x:f>MAX(ABS(VALUE('Sheet2'!D19)-VALUE('Sheet2'!D18)),ABS(VALUE('Sheet2'!E19)-VALUE('Sheet2'!E18)),ABS(VALUE('Sheet2'!F19)-VALUE('Sheet2'!F18)),ABS(VALUE('Sheet2'!G19)-VALUE('Sheet2'!G18)),ABS(VALUE('Sheet2'!H19)-VALUE('Sheet2'!H18)),ABS(VALUE('Sheet2'!I19)-VALUE('Sheet2'!I18)),ABS(VALUE('Sheet2'!J19)-VALUE('Sheet2'!J18)),ABS(VALUE('Sheet2'!K19)-VALUE('Sheet2'!K18)),ABS(VALUE('Sheet2'!L19)-VALUE('Sheet2'!L18)),ABS(VALUE('Sheet2'!M19)-VALUE('Sheet2'!M18)),ABS(VALUE('Sheet2'!N19)-VALUE('Sheet2'!N18)),ABS(VALUE('Sheet2'!O19)-VALUE('Sheet2'!O18)),ABS(VALUE('Sheet2'!P19)-VALUE('Sheet2'!P18)))</x:f>
        <x:v>0.0014000000000000123</x:v>
      </x:c>
      <x:c r="L19" t="n">
        <x:f>SUM(ABS(VALUE('Sheet2'!D19)-VALUE('Sheet2'!D18)),ABS(VALUE('Sheet2'!E19)-VALUE('Sheet2'!E18)),ABS(VALUE('Sheet2'!F19)-VALUE('Sheet2'!F18)),ABS(VALUE('Sheet2'!G19)-VALUE('Sheet2'!G18)),ABS(VALUE('Sheet2'!H19)-VALUE('Sheet2'!H18)),ABS(VALUE('Sheet2'!I19)-VALUE('Sheet2'!I18)),ABS(VALUE('Sheet2'!J19)-VALUE('Sheet2'!J18)),ABS(VALUE('Sheet2'!K19)-VALUE('Sheet2'!K18)),ABS(VALUE('Sheet2'!L19)-VALUE('Sheet2'!L18)),ABS(VALUE('Sheet2'!M19)-VALUE('Sheet2'!M18)),ABS(VALUE('Sheet2'!N19)-VALUE('Sheet2'!N18)),ABS(VALUE('Sheet2'!O19)-VALUE('Sheet2'!O18)),ABS(VALUE('Sheet2'!P19)-VALUE('Sheet2'!P18)))/2</x:f>
        <x:v>0.001349999999999997</x:v>
      </x:c>
      <x:c r="M19" t="n">
        <x:f>SUMSQ('Sheet2'!D19:P19)</x:f>
        <x:v>0.23187715</x:v>
      </x:c>
      <x:c r="N19" t="n">
        <x:f>VALUE('Sheet2'!D19)</x:f>
        <x:v>0.2017</x:v>
      </x:c>
    </x:row>
    <x:row r="20">
      <x:c r="A20" t="str">
        <x:f>'Sheet2'!A20</x:f>
        <x:v>2023-09-08</x:v>
      </x:c>
      <x:c r="B20" t="n">
        <x:f>VALUE('Sheet2'!B20)</x:f>
        <x:v>0.9905</x:v>
      </x:c>
      <x:c r="C20" t="n">
        <x:f>VALUE('Sheet2'!C20)</x:f>
        <x:v>0.9498</x:v>
      </x:c>
      <x:c r="D20" t="n">
        <x:f>IFERROR(B20/B19-1,"")</x:f>
        <x:v>-0.0007062146892654608</x:v>
      </x:c>
      <x:c r="E20" t="n">
        <x:f>IFERROR(C20/C19-1,"")</x:f>
        <x:v>-0.013604735694256909</x:v>
      </x:c>
      <x:c r="F20" t="n">
        <x:f>IFERROR(D20-E20,"")</x:f>
        <x:v>0.012898521004991448</x:v>
      </x:c>
      <x:c r="G20" t="n">
        <x:f>MAX($B$2:B20)</x:f>
        <x:v>1.0115</x:v>
      </x:c>
      <x:c r="H20" t="n">
        <x:f>IFERROR(B20/G20-1,"")</x:f>
        <x:v>-0.02076124567474047</x:v>
      </x:c>
      <x:c r="I20" t="n">
        <x:f>MAX($C$2:C20)</x:f>
        <x:v>1.021</x:v>
      </x:c>
      <x:c r="J20" t="n">
        <x:f>IFERROR(C20/I20-1,"")</x:f>
        <x:v>-0.06973555337904014</x:v>
      </x:c>
      <x:c r="K20" t="n">
        <x:f>MAX(ABS(VALUE('Sheet2'!D20)-VALUE('Sheet2'!D19)),ABS(VALUE('Sheet2'!E20)-VALUE('Sheet2'!E19)),ABS(VALUE('Sheet2'!F20)-VALUE('Sheet2'!F19)),ABS(VALUE('Sheet2'!G20)-VALUE('Sheet2'!G19)),ABS(VALUE('Sheet2'!H20)-VALUE('Sheet2'!H19)),ABS(VALUE('Sheet2'!I20)-VALUE('Sheet2'!I19)),ABS(VALUE('Sheet2'!J20)-VALUE('Sheet2'!J19)),ABS(VALUE('Sheet2'!K20)-VALUE('Sheet2'!K19)),ABS(VALUE('Sheet2'!L20)-VALUE('Sheet2'!L19)),ABS(VALUE('Sheet2'!M20)-VALUE('Sheet2'!M19)),ABS(VALUE('Sheet2'!N20)-VALUE('Sheet2'!N19)),ABS(VALUE('Sheet2'!O20)-VALUE('Sheet2'!O19)),ABS(VALUE('Sheet2'!P20)-VALUE('Sheet2'!P19)))</x:f>
        <x:v>0.0014999999999999875</x:v>
      </x:c>
      <x:c r="L20" t="n">
        <x:f>SUM(ABS(VALUE('Sheet2'!D20)-VALUE('Sheet2'!D19)),ABS(VALUE('Sheet2'!E20)-VALUE('Sheet2'!E19)),ABS(VALUE('Sheet2'!F20)-VALUE('Sheet2'!F19)),ABS(VALUE('Sheet2'!G20)-VALUE('Sheet2'!G19)),ABS(VALUE('Sheet2'!H20)-VALUE('Sheet2'!H19)),ABS(VALUE('Sheet2'!I20)-VALUE('Sheet2'!I19)),ABS(VALUE('Sheet2'!J20)-VALUE('Sheet2'!J19)),ABS(VALUE('Sheet2'!K20)-VALUE('Sheet2'!K19)),ABS(VALUE('Sheet2'!L20)-VALUE('Sheet2'!L19)),ABS(VALUE('Sheet2'!M20)-VALUE('Sheet2'!M19)),ABS(VALUE('Sheet2'!N20)-VALUE('Sheet2'!N19)),ABS(VALUE('Sheet2'!O20)-VALUE('Sheet2'!O19)),ABS(VALUE('Sheet2'!P20)-VALUE('Sheet2'!P19)))/2</x:f>
        <x:v>0.0020999999999999665</x:v>
      </x:c>
      <x:c r="M20" t="n">
        <x:f>SUMSQ('Sheet2'!D20:P20)</x:f>
        <x:v>0.23140391000000002</x:v>
      </x:c>
      <x:c r="N20" t="n">
        <x:f>VALUE('Sheet2'!D20)</x:f>
        <x:v>0.2015</x:v>
      </x:c>
    </x:row>
    <x:row r="21">
      <x:c r="A21" t="str">
        <x:f>'Sheet2'!A21</x:f>
        <x:v>2023-09-15</x:v>
      </x:c>
      <x:c r="B21" t="n">
        <x:f>VALUE('Sheet2'!B21)</x:f>
        <x:v>0.9888</x:v>
      </x:c>
      <x:c r="C21" t="n">
        <x:f>VALUE('Sheet2'!C21)</x:f>
        <x:v>0.9418</x:v>
      </x:c>
      <x:c r="D21" t="n">
        <x:f>IFERROR(B21/B20-1,"")</x:f>
        <x:v>-0.0017163048965169736</x:v>
      </x:c>
      <x:c r="E21" t="n">
        <x:f>IFERROR(C21/C20-1,"")</x:f>
        <x:v>-0.008422825858075411</x:v>
      </x:c>
      <x:c r="F21" t="n">
        <x:f>IFERROR(D21-E21,"")</x:f>
        <x:v>0.006706520961558438</x:v>
      </x:c>
      <x:c r="G21" t="n">
        <x:f>MAX($B$2:B21)</x:f>
        <x:v>1.0115</x:v>
      </x:c>
      <x:c r="H21" t="n">
        <x:f>IFERROR(B21/G21-1,"")</x:f>
        <x:v>-0.022441917943648138</x:v>
      </x:c>
      <x:c r="I21" t="n">
        <x:f>MAX($C$2:C21)</x:f>
        <x:v>1.021</x:v>
      </x:c>
      <x:c r="J21" t="n">
        <x:f>IFERROR(C21/I21-1,"")</x:f>
        <x:v>-0.07757100881488732</x:v>
      </x:c>
      <x:c r="K21" t="n">
        <x:f>MAX(ABS(VALUE('Sheet2'!D21)-VALUE('Sheet2'!D20)),ABS(VALUE('Sheet2'!E21)-VALUE('Sheet2'!E20)),ABS(VALUE('Sheet2'!F21)-VALUE('Sheet2'!F20)),ABS(VALUE('Sheet2'!G21)-VALUE('Sheet2'!G20)),ABS(VALUE('Sheet2'!H21)-VALUE('Sheet2'!H20)),ABS(VALUE('Sheet2'!I21)-VALUE('Sheet2'!I20)),ABS(VALUE('Sheet2'!J21)-VALUE('Sheet2'!J20)),ABS(VALUE('Sheet2'!K21)-VALUE('Sheet2'!K20)),ABS(VALUE('Sheet2'!L21)-VALUE('Sheet2'!L20)),ABS(VALUE('Sheet2'!M21)-VALUE('Sheet2'!M20)),ABS(VALUE('Sheet2'!N21)-VALUE('Sheet2'!N20)),ABS(VALUE('Sheet2'!O21)-VALUE('Sheet2'!O20)),ABS(VALUE('Sheet2'!P21)-VALUE('Sheet2'!P20)))</x:f>
        <x:v>0.0012000000000000066</x:v>
      </x:c>
      <x:c r="L21" t="n">
        <x:f>SUM(ABS(VALUE('Sheet2'!D21)-VALUE('Sheet2'!D20)),ABS(VALUE('Sheet2'!E21)-VALUE('Sheet2'!E20)),ABS(VALUE('Sheet2'!F21)-VALUE('Sheet2'!F20)),ABS(VALUE('Sheet2'!G21)-VALUE('Sheet2'!G20)),ABS(VALUE('Sheet2'!H21)-VALUE('Sheet2'!H20)),ABS(VALUE('Sheet2'!I21)-VALUE('Sheet2'!I20)),ABS(VALUE('Sheet2'!J21)-VALUE('Sheet2'!J20)),ABS(VALUE('Sheet2'!K21)-VALUE('Sheet2'!K20)),ABS(VALUE('Sheet2'!L21)-VALUE('Sheet2'!L20)),ABS(VALUE('Sheet2'!M21)-VALUE('Sheet2'!M20)),ABS(VALUE('Sheet2'!N21)-VALUE('Sheet2'!N20)),ABS(VALUE('Sheet2'!O21)-VALUE('Sheet2'!O20)),ABS(VALUE('Sheet2'!P21)-VALUE('Sheet2'!P20)))/2</x:f>
        <x:v>0.0014500000000000207</x:v>
      </x:c>
      <x:c r="M21" t="n">
        <x:f>SUMSQ('Sheet2'!D21:P21)</x:f>
        <x:v>0.23081732</x:v>
      </x:c>
      <x:c r="N21" t="n">
        <x:f>VALUE('Sheet2'!D21)</x:f>
        <x:v>0.2016</x:v>
      </x:c>
    </x:row>
    <x:row r="22">
      <x:c r="A22" t="str">
        <x:f>'Sheet2'!A22</x:f>
        <x:v>2023-09-22</x:v>
      </x:c>
      <x:c r="B22" t="n">
        <x:f>VALUE('Sheet2'!B22)</x:f>
        <x:v>0.9886</x:v>
      </x:c>
      <x:c r="C22" t="n">
        <x:f>VALUE('Sheet2'!C22)</x:f>
        <x:v>0.9495</x:v>
      </x:c>
      <x:c r="D22" t="n">
        <x:f>IFERROR(B22/B21-1,"")</x:f>
        <x:v>-0.00020226537216827545</x:v>
      </x:c>
      <x:c r="E22" t="n">
        <x:f>IFERROR(C22/C21-1,"")</x:f>
        <x:v>0.00817583351029949</x:v>
      </x:c>
      <x:c r="F22" t="n">
        <x:f>IFERROR(D22-E22,"")</x:f>
        <x:v>-0.008378098882467766</x:v>
      </x:c>
      <x:c r="G22" t="n">
        <x:f>MAX($B$2:B22)</x:f>
        <x:v>1.0115</x:v>
      </x:c>
      <x:c r="H22" t="n">
        <x:f>IFERROR(B22/G22-1,"")</x:f>
        <x:v>-0.022639644092931288</x:v>
      </x:c>
      <x:c r="I22" t="n">
        <x:f>MAX($C$2:C22)</x:f>
        <x:v>1.021</x:v>
      </x:c>
      <x:c r="J22" t="n">
        <x:f>IFERROR(C22/I22-1,"")</x:f>
        <x:v>-0.0700293829578843</x:v>
      </x:c>
      <x:c r="K22" t="n">
        <x:f>MAX(ABS(VALUE('Sheet2'!D22)-VALUE('Sheet2'!D21)),ABS(VALUE('Sheet2'!E22)-VALUE('Sheet2'!E21)),ABS(VALUE('Sheet2'!F22)-VALUE('Sheet2'!F21)),ABS(VALUE('Sheet2'!G22)-VALUE('Sheet2'!G21)),ABS(VALUE('Sheet2'!H22)-VALUE('Sheet2'!H21)),ABS(VALUE('Sheet2'!I22)-VALUE('Sheet2'!I21)),ABS(VALUE('Sheet2'!J22)-VALUE('Sheet2'!J21)),ABS(VALUE('Sheet2'!K22)-VALUE('Sheet2'!K21)),ABS(VALUE('Sheet2'!L22)-VALUE('Sheet2'!L21)),ABS(VALUE('Sheet2'!M22)-VALUE('Sheet2'!M21)),ABS(VALUE('Sheet2'!N22)-VALUE('Sheet2'!N21)),ABS(VALUE('Sheet2'!O22)-VALUE('Sheet2'!O21)),ABS(VALUE('Sheet2'!P22)-VALUE('Sheet2'!P21)))</x:f>
        <x:v>0.0015999999999999903</x:v>
      </x:c>
      <x:c r="L22" t="n">
        <x:f>SUM(ABS(VALUE('Sheet2'!D22)-VALUE('Sheet2'!D21)),ABS(VALUE('Sheet2'!E22)-VALUE('Sheet2'!E21)),ABS(VALUE('Sheet2'!F22)-VALUE('Sheet2'!F21)),ABS(VALUE('Sheet2'!G22)-VALUE('Sheet2'!G21)),ABS(VALUE('Sheet2'!H22)-VALUE('Sheet2'!H21)),ABS(VALUE('Sheet2'!I22)-VALUE('Sheet2'!I21)),ABS(VALUE('Sheet2'!J22)-VALUE('Sheet2'!J21)),ABS(VALUE('Sheet2'!K22)-VALUE('Sheet2'!K21)),ABS(VALUE('Sheet2'!L22)-VALUE('Sheet2'!L21)),ABS(VALUE('Sheet2'!M22)-VALUE('Sheet2'!M21)),ABS(VALUE('Sheet2'!N22)-VALUE('Sheet2'!N21)),ABS(VALUE('Sheet2'!O22)-VALUE('Sheet2'!O21)),ABS(VALUE('Sheet2'!P22)-VALUE('Sheet2'!P21)))/2</x:f>
        <x:v>0.0018499999999999905</x:v>
      </x:c>
      <x:c r="M22" t="n">
        <x:f>SUMSQ('Sheet2'!D22:P22)</x:f>
        <x:v>0.23171883</x:v>
      </x:c>
      <x:c r="N22" t="n">
        <x:f>VALUE('Sheet2'!D22)</x:f>
        <x:v>0.2015</x:v>
      </x:c>
    </x:row>
    <x:row r="23">
      <x:c r="A23" t="str">
        <x:f>'Sheet2'!A23</x:f>
        <x:v>2023-09-28</x:v>
      </x:c>
      <x:c r="B23" t="n">
        <x:f>VALUE('Sheet2'!B23)</x:f>
        <x:v>0.9928</x:v>
      </x:c>
      <x:c r="C23" t="n">
        <x:f>VALUE('Sheet2'!C23)</x:f>
        <x:v>0.937</x:v>
      </x:c>
      <x:c r="D23" t="n">
        <x:f>IFERROR(B23/B22-1,"")</x:f>
        <x:v>0.004248432126239043</x:v>
      </x:c>
      <x:c r="E23" t="n">
        <x:f>IFERROR(C23/C22-1,"")</x:f>
        <x:v>-0.013164823591363839</x:v>
      </x:c>
      <x:c r="F23" t="n">
        <x:f>IFERROR(D23-E23,"")</x:f>
        <x:v>0.017413255717602882</x:v>
      </x:c>
      <x:c r="G23" t="n">
        <x:f>MAX($B$2:B23)</x:f>
        <x:v>1.0115</x:v>
      </x:c>
      <x:c r="H23" t="n">
        <x:f>IFERROR(B23/G23-1,"")</x:f>
        <x:v>-0.01848739495798324</x:v>
      </x:c>
      <x:c r="I23" t="n">
        <x:f>MAX($C$2:C23)</x:f>
        <x:v>1.021</x:v>
      </x:c>
      <x:c r="J23" t="n">
        <x:f>IFERROR(C23/I23-1,"")</x:f>
        <x:v>-0.08227228207639559</x:v>
      </x:c>
      <x:c r="K23" t="n">
        <x:f>MAX(ABS(VALUE('Sheet2'!D23)-VALUE('Sheet2'!D22)),ABS(VALUE('Sheet2'!E23)-VALUE('Sheet2'!E22)),ABS(VALUE('Sheet2'!F23)-VALUE('Sheet2'!F22)),ABS(VALUE('Sheet2'!G23)-VALUE('Sheet2'!G22)),ABS(VALUE('Sheet2'!H23)-VALUE('Sheet2'!H22)),ABS(VALUE('Sheet2'!I23)-VALUE('Sheet2'!I22)),ABS(VALUE('Sheet2'!J23)-VALUE('Sheet2'!J22)),ABS(VALUE('Sheet2'!K23)-VALUE('Sheet2'!K22)),ABS(VALUE('Sheet2'!L23)-VALUE('Sheet2'!L22)),ABS(VALUE('Sheet2'!M23)-VALUE('Sheet2'!M22)),ABS(VALUE('Sheet2'!N23)-VALUE('Sheet2'!N22)),ABS(VALUE('Sheet2'!O23)-VALUE('Sheet2'!O22)),ABS(VALUE('Sheet2'!P23)-VALUE('Sheet2'!P22)))</x:f>
        <x:v>0.1915</x:v>
      </x:c>
      <x:c r="L23" t="n">
        <x:f>SUM(ABS(VALUE('Sheet2'!D23)-VALUE('Sheet2'!D22)),ABS(VALUE('Sheet2'!E23)-VALUE('Sheet2'!E22)),ABS(VALUE('Sheet2'!F23)-VALUE('Sheet2'!F22)),ABS(VALUE('Sheet2'!G23)-VALUE('Sheet2'!G22)),ABS(VALUE('Sheet2'!H23)-VALUE('Sheet2'!H22)),ABS(VALUE('Sheet2'!I23)-VALUE('Sheet2'!I22)),ABS(VALUE('Sheet2'!J23)-VALUE('Sheet2'!J22)),ABS(VALUE('Sheet2'!K23)-VALUE('Sheet2'!K22)),ABS(VALUE('Sheet2'!L23)-VALUE('Sheet2'!L22)),ABS(VALUE('Sheet2'!M23)-VALUE('Sheet2'!M22)),ABS(VALUE('Sheet2'!N23)-VALUE('Sheet2'!N22)),ABS(VALUE('Sheet2'!O23)-VALUE('Sheet2'!O22)),ABS(VALUE('Sheet2'!P23)-VALUE('Sheet2'!P22)))/2</x:f>
        <x:v>0.19225000000000003</x:v>
      </x:c>
      <x:c r="M23" t="n">
        <x:f>SUMSQ('Sheet2'!D23:P23)</x:f>
        <x:v>0.22769264000000003</x:v>
      </x:c>
      <x:c r="N23" t="n">
        <x:f>VALUE('Sheet2'!D23)</x:f>
        <x:v>0.01</x:v>
      </x:c>
    </x:row>
    <x:row r="24">
      <x:c r="A24" t="str">
        <x:f>'Sheet2'!A24</x:f>
        <x:v>2023-10-13</x:v>
      </x:c>
      <x:c r="B24" t="n">
        <x:f>VALUE('Sheet2'!B24)</x:f>
        <x:v>0.9899</x:v>
      </x:c>
      <x:c r="C24" t="n">
        <x:f>VALUE('Sheet2'!C24)</x:f>
        <x:v>0.9303</x:v>
      </x:c>
      <x:c r="D24" t="n">
        <x:f>IFERROR(B24/B23-1,"")</x:f>
        <x:v>-0.002921031426269205</x:v>
      </x:c>
      <x:c r="E24" t="n">
        <x:f>IFERROR(C24/C23-1,"")</x:f>
        <x:v>-0.0071504802561366265</x:v>
      </x:c>
      <x:c r="F24" t="n">
        <x:f>IFERROR(D24-E24,"")</x:f>
        <x:v>0.0042294488298674215</x:v>
      </x:c>
      <x:c r="G24" t="n">
        <x:f>MAX($B$2:B24)</x:f>
        <x:v>1.0115</x:v>
      </x:c>
      <x:c r="H24" t="n">
        <x:f>IFERROR(B24/G24-1,"")</x:f>
        <x:v>-0.021354424122590254</x:v>
      </x:c>
      <x:c r="I24" t="n">
        <x:f>MAX($C$2:C24)</x:f>
        <x:v>1.021</x:v>
      </x:c>
      <x:c r="J24" t="n">
        <x:f>IFERROR(C24/I24-1,"")</x:f>
        <x:v>-0.08883447600391758</x:v>
      </x:c>
      <x:c r="K24" t="n">
        <x:f>MAX(ABS(VALUE('Sheet2'!D24)-VALUE('Sheet2'!D23)),ABS(VALUE('Sheet2'!E24)-VALUE('Sheet2'!E23)),ABS(VALUE('Sheet2'!F24)-VALUE('Sheet2'!F23)),ABS(VALUE('Sheet2'!G24)-VALUE('Sheet2'!G23)),ABS(VALUE('Sheet2'!H24)-VALUE('Sheet2'!H23)),ABS(VALUE('Sheet2'!I24)-VALUE('Sheet2'!I23)),ABS(VALUE('Sheet2'!J24)-VALUE('Sheet2'!J23)),ABS(VALUE('Sheet2'!K24)-VALUE('Sheet2'!K23)),ABS(VALUE('Sheet2'!L24)-VALUE('Sheet2'!L23)),ABS(VALUE('Sheet2'!M24)-VALUE('Sheet2'!M23)),ABS(VALUE('Sheet2'!N24)-VALUE('Sheet2'!N23)),ABS(VALUE('Sheet2'!O24)-VALUE('Sheet2'!O23)),ABS(VALUE('Sheet2'!P24)-VALUE('Sheet2'!P23)))</x:f>
        <x:v>0.19030000000000002</x:v>
      </x:c>
      <x:c r="L24" t="n">
        <x:f>SUM(ABS(VALUE('Sheet2'!D24)-VALUE('Sheet2'!D23)),ABS(VALUE('Sheet2'!E24)-VALUE('Sheet2'!E23)),ABS(VALUE('Sheet2'!F24)-VALUE('Sheet2'!F23)),ABS(VALUE('Sheet2'!G24)-VALUE('Sheet2'!G23)),ABS(VALUE('Sheet2'!H24)-VALUE('Sheet2'!H23)),ABS(VALUE('Sheet2'!I24)-VALUE('Sheet2'!I23)),ABS(VALUE('Sheet2'!J24)-VALUE('Sheet2'!J23)),ABS(VALUE('Sheet2'!K24)-VALUE('Sheet2'!K23)),ABS(VALUE('Sheet2'!L24)-VALUE('Sheet2'!L23)),ABS(VALUE('Sheet2'!M24)-VALUE('Sheet2'!M23)),ABS(VALUE('Sheet2'!N24)-VALUE('Sheet2'!N23)),ABS(VALUE('Sheet2'!O24)-VALUE('Sheet2'!O23)),ABS(VALUE('Sheet2'!P24)-VALUE('Sheet2'!P23)))/2</x:f>
        <x:v>0.19180000000000003</x:v>
      </x:c>
      <x:c r="M24" t="n">
        <x:f>SUMSQ('Sheet2'!D24:P24)</x:f>
        <x:v>0.23072688</x:v>
      </x:c>
      <x:c r="N24" t="n">
        <x:f>VALUE('Sheet2'!D24)</x:f>
        <x:v>0.2003</x:v>
      </x:c>
    </x:row>
    <x:row r="25">
      <x:c r="A25" t="str">
        <x:f>'Sheet2'!A25</x:f>
        <x:v>2023-10-20</x:v>
      </x:c>
      <x:c r="B25" t="n">
        <x:f>VALUE('Sheet2'!B25)</x:f>
        <x:v>0.9632</x:v>
      </x:c>
      <x:c r="C25" t="n">
        <x:f>VALUE('Sheet2'!C25)</x:f>
        <x:v>0.8915</x:v>
      </x:c>
      <x:c r="D25" t="n">
        <x:f>IFERROR(B25/B24-1,"")</x:f>
        <x:v>-0.02697242145671286</x:v>
      </x:c>
      <x:c r="E25" t="n">
        <x:f>IFERROR(C25/C24-1,"")</x:f>
        <x:v>-0.04170697624422237</x:v>
      </x:c>
      <x:c r="F25" t="n">
        <x:f>IFERROR(D25-E25,"")</x:f>
        <x:v>0.014734554787509513</x:v>
      </x:c>
      <x:c r="G25" t="n">
        <x:f>MAX($B$2:B25)</x:f>
        <x:v>1.0115</x:v>
      </x:c>
      <x:c r="H25" t="n">
        <x:f>IFERROR(B25/G25-1,"")</x:f>
        <x:v>-0.04775086505190318</x:v>
      </x:c>
      <x:c r="I25" t="n">
        <x:f>MAX($C$2:C25)</x:f>
        <x:v>1.021</x:v>
      </x:c>
      <x:c r="J25" t="n">
        <x:f>IFERROR(C25/I25-1,"")</x:f>
        <x:v>-0.12683643486777663</x:v>
      </x:c>
      <x:c r="K25" t="n">
        <x:f>MAX(ABS(VALUE('Sheet2'!D25)-VALUE('Sheet2'!D24)),ABS(VALUE('Sheet2'!E25)-VALUE('Sheet2'!E24)),ABS(VALUE('Sheet2'!F25)-VALUE('Sheet2'!F24)),ABS(VALUE('Sheet2'!G25)-VALUE('Sheet2'!G24)),ABS(VALUE('Sheet2'!H25)-VALUE('Sheet2'!H24)),ABS(VALUE('Sheet2'!I25)-VALUE('Sheet2'!I24)),ABS(VALUE('Sheet2'!J25)-VALUE('Sheet2'!J24)),ABS(VALUE('Sheet2'!K25)-VALUE('Sheet2'!K24)),ABS(VALUE('Sheet2'!L25)-VALUE('Sheet2'!L24)),ABS(VALUE('Sheet2'!M25)-VALUE('Sheet2'!M24)),ABS(VALUE('Sheet2'!N25)-VALUE('Sheet2'!N24)),ABS(VALUE('Sheet2'!O25)-VALUE('Sheet2'!O24)),ABS(VALUE('Sheet2'!P25)-VALUE('Sheet2'!P24)))</x:f>
        <x:v>0.006899999999999962</x:v>
      </x:c>
      <x:c r="L25" t="n">
        <x:f>SUM(ABS(VALUE('Sheet2'!D25)-VALUE('Sheet2'!D24)),ABS(VALUE('Sheet2'!E25)-VALUE('Sheet2'!E24)),ABS(VALUE('Sheet2'!F25)-VALUE('Sheet2'!F24)),ABS(VALUE('Sheet2'!G25)-VALUE('Sheet2'!G24)),ABS(VALUE('Sheet2'!H25)-VALUE('Sheet2'!H24)),ABS(VALUE('Sheet2'!I25)-VALUE('Sheet2'!I24)),ABS(VALUE('Sheet2'!J25)-VALUE('Sheet2'!J24)),ABS(VALUE('Sheet2'!K25)-VALUE('Sheet2'!K24)),ABS(VALUE('Sheet2'!L25)-VALUE('Sheet2'!L24)),ABS(VALUE('Sheet2'!M25)-VALUE('Sheet2'!M24)),ABS(VALUE('Sheet2'!N25)-VALUE('Sheet2'!N24)),ABS(VALUE('Sheet2'!O25)-VALUE('Sheet2'!O24)),ABS(VALUE('Sheet2'!P25)-VALUE('Sheet2'!P24)))/2</x:f>
        <x:v>0.010199999999999978</x:v>
      </x:c>
      <x:c r="M25" t="n">
        <x:f>SUMSQ('Sheet2'!D25:P25)</x:f>
        <x:v>0.22801226</x:v>
      </x:c>
      <x:c r="N25" t="n">
        <x:f>VALUE('Sheet2'!D25)</x:f>
        <x:v>0.2057</x:v>
      </x:c>
    </x:row>
    <x:row r="26">
      <x:c r="A26" t="str">
        <x:f>'Sheet2'!A26</x:f>
        <x:v>2023-10-27</x:v>
      </x:c>
      <x:c r="B26" t="n">
        <x:f>VALUE('Sheet2'!B26)</x:f>
        <x:v>0.978</x:v>
      </x:c>
      <x:c r="C26" t="n">
        <x:f>VALUE('Sheet2'!C26)</x:f>
        <x:v>0.9047</x:v>
      </x:c>
      <x:c r="D26" t="n">
        <x:f>IFERROR(B26/B25-1,"")</x:f>
        <x:v>0.015365448504983448</x:v>
      </x:c>
      <x:c r="E26" t="n">
        <x:f>IFERROR(C26/C25-1,"")</x:f>
        <x:v>0.014806505888951271</x:v>
      </x:c>
      <x:c r="F26" t="n">
        <x:f>IFERROR(D26-E26,"")</x:f>
        <x:v>0.0005589426160321764</x:v>
      </x:c>
      <x:c r="G26" t="n">
        <x:f>MAX($B$2:B26)</x:f>
        <x:v>1.0115</x:v>
      </x:c>
      <x:c r="H26" t="n">
        <x:f>IFERROR(B26/G26-1,"")</x:f>
        <x:v>-0.033119130004943265</x:v>
      </x:c>
      <x:c r="I26" t="n">
        <x:f>MAX($C$2:C26)</x:f>
        <x:v>1.021</x:v>
      </x:c>
      <x:c r="J26" t="n">
        <x:f>IFERROR(C26/I26-1,"")</x:f>
        <x:v>-0.11390793339862881</x:v>
      </x:c>
      <x:c r="K26" t="n">
        <x:f>MAX(ABS(VALUE('Sheet2'!D26)-VALUE('Sheet2'!D25)),ABS(VALUE('Sheet2'!E26)-VALUE('Sheet2'!E25)),ABS(VALUE('Sheet2'!F26)-VALUE('Sheet2'!F25)),ABS(VALUE('Sheet2'!G26)-VALUE('Sheet2'!G25)),ABS(VALUE('Sheet2'!H26)-VALUE('Sheet2'!H25)),ABS(VALUE('Sheet2'!I26)-VALUE('Sheet2'!I25)),ABS(VALUE('Sheet2'!J26)-VALUE('Sheet2'!J25)),ABS(VALUE('Sheet2'!K26)-VALUE('Sheet2'!K25)),ABS(VALUE('Sheet2'!L26)-VALUE('Sheet2'!L25)),ABS(VALUE('Sheet2'!M26)-VALUE('Sheet2'!M25)),ABS(VALUE('Sheet2'!N26)-VALUE('Sheet2'!N25)),ABS(VALUE('Sheet2'!O26)-VALUE('Sheet2'!O25)),ABS(VALUE('Sheet2'!P26)-VALUE('Sheet2'!P25)))</x:f>
        <x:v>0.003500000000000003</x:v>
      </x:c>
      <x:c r="L26" t="n">
        <x:f>SUM(ABS(VALUE('Sheet2'!D26)-VALUE('Sheet2'!D25)),ABS(VALUE('Sheet2'!E26)-VALUE('Sheet2'!E25)),ABS(VALUE('Sheet2'!F26)-VALUE('Sheet2'!F25)),ABS(VALUE('Sheet2'!G26)-VALUE('Sheet2'!G25)),ABS(VALUE('Sheet2'!H26)-VALUE('Sheet2'!H25)),ABS(VALUE('Sheet2'!I26)-VALUE('Sheet2'!I25)),ABS(VALUE('Sheet2'!J26)-VALUE('Sheet2'!J25)),ABS(VALUE('Sheet2'!K26)-VALUE('Sheet2'!K25)),ABS(VALUE('Sheet2'!L26)-VALUE('Sheet2'!L25)),ABS(VALUE('Sheet2'!M26)-VALUE('Sheet2'!M25)),ABS(VALUE('Sheet2'!N26)-VALUE('Sheet2'!N25)),ABS(VALUE('Sheet2'!O26)-VALUE('Sheet2'!O25)),ABS(VALUE('Sheet2'!P26)-VALUE('Sheet2'!P25)))/2</x:f>
        <x:v>0.0058</x:v>
      </x:c>
      <x:c r="M26" t="n">
        <x:f>SUMSQ('Sheet2'!D26:P26)</x:f>
        <x:v>0.22900344000000003</x:v>
      </x:c>
      <x:c r="N26" t="n">
        <x:f>VALUE('Sheet2'!D26)</x:f>
        <x:v>0.2022</x:v>
      </x:c>
    </x:row>
    <x:row r="27">
      <x:c r="A27" t="str">
        <x:f>'Sheet2'!A27</x:f>
        <x:v>2023-10-31</x:v>
      </x:c>
      <x:c r="B27" t="n">
        <x:f>VALUE('Sheet2'!B27)</x:f>
        <x:v>0.9805</x:v>
      </x:c>
      <x:c r="C27" t="n">
        <x:f>VALUE('Sheet2'!C27)</x:f>
        <x:v>0.9072</x:v>
      </x:c>
      <x:c r="D27" t="n">
        <x:f>IFERROR(B27/B26-1,"")</x:f>
        <x:v>0.002556237218813928</x:v>
      </x:c>
      <x:c r="E27" t="n">
        <x:f>IFERROR(C27/C26-1,"")</x:f>
        <x:v>0.002763346965845015</x:v>
      </x:c>
      <x:c r="F27" t="n">
        <x:f>IFERROR(D27-E27,"")</x:f>
        <x:v>-0.00020710974703108675</x:v>
      </x:c>
      <x:c r="G27" t="n">
        <x:f>MAX($B$2:B27)</x:f>
        <x:v>1.0115</x:v>
      </x:c>
      <x:c r="H27" t="n">
        <x:f>IFERROR(B27/G27-1,"")</x:f>
        <x:v>-0.03064755313890266</x:v>
      </x:c>
      <x:c r="I27" t="n">
        <x:f>MAX($C$2:C27)</x:f>
        <x:v>1.021</x:v>
      </x:c>
      <x:c r="J27" t="n">
        <x:f>IFERROR(C27/I27-1,"")</x:f>
        <x:v>-0.11145935357492642</x:v>
      </x:c>
      <x:c r="K27" t="n">
        <x:f>MAX(ABS(VALUE('Sheet2'!D27)-VALUE('Sheet2'!D26)),ABS(VALUE('Sheet2'!E27)-VALUE('Sheet2'!E26)),ABS(VALUE('Sheet2'!F27)-VALUE('Sheet2'!F26)),ABS(VALUE('Sheet2'!G27)-VALUE('Sheet2'!G26)),ABS(VALUE('Sheet2'!H27)-VALUE('Sheet2'!H26)),ABS(VALUE('Sheet2'!I27)-VALUE('Sheet2'!I26)),ABS(VALUE('Sheet2'!J27)-VALUE('Sheet2'!J26)),ABS(VALUE('Sheet2'!K27)-VALUE('Sheet2'!K26)),ABS(VALUE('Sheet2'!L27)-VALUE('Sheet2'!L26)),ABS(VALUE('Sheet2'!M27)-VALUE('Sheet2'!M26)),ABS(VALUE('Sheet2'!N27)-VALUE('Sheet2'!N26)),ABS(VALUE('Sheet2'!O27)-VALUE('Sheet2'!O26)),ABS(VALUE('Sheet2'!P27)-VALUE('Sheet2'!P26)))</x:f>
        <x:v>0.0015999999999999903</x:v>
      </x:c>
      <x:c r="L27" t="n">
        <x:f>SUM(ABS(VALUE('Sheet2'!D27)-VALUE('Sheet2'!D26)),ABS(VALUE('Sheet2'!E27)-VALUE('Sheet2'!E26)),ABS(VALUE('Sheet2'!F27)-VALUE('Sheet2'!F26)),ABS(VALUE('Sheet2'!G27)-VALUE('Sheet2'!G26)),ABS(VALUE('Sheet2'!H27)-VALUE('Sheet2'!H26)),ABS(VALUE('Sheet2'!I27)-VALUE('Sheet2'!I26)),ABS(VALUE('Sheet2'!J27)-VALUE('Sheet2'!J26)),ABS(VALUE('Sheet2'!K27)-VALUE('Sheet2'!K26)),ABS(VALUE('Sheet2'!L27)-VALUE('Sheet2'!L26)),ABS(VALUE('Sheet2'!M27)-VALUE('Sheet2'!M26)),ABS(VALUE('Sheet2'!N27)-VALUE('Sheet2'!N26)),ABS(VALUE('Sheet2'!O27)-VALUE('Sheet2'!O26)),ABS(VALUE('Sheet2'!P27)-VALUE('Sheet2'!P26)))/2</x:f>
        <x:v>0.0018499999999999767</x:v>
      </x:c>
      <x:c r="M27" t="n">
        <x:f>SUMSQ('Sheet2'!D27:P27)</x:f>
        <x:v>0.22976301000000002</x:v>
      </x:c>
      <x:c r="N27" t="n">
        <x:f>VALUE('Sheet2'!D27)</x:f>
        <x:v>0.2015</x:v>
      </x:c>
    </x:row>
    <x:row r="28">
      <x:c r="A28" t="str">
        <x:f>'Sheet2'!A28</x:f>
        <x:v>2023-11-03</x:v>
      </x:c>
      <x:c r="B28" t="n">
        <x:f>VALUE('Sheet2'!B28)</x:f>
        <x:v>0.9803</x:v>
      </x:c>
      <x:c r="C28" t="n">
        <x:f>VALUE('Sheet2'!C28)</x:f>
        <x:v>0.9102</x:v>
      </x:c>
      <x:c r="D28" t="n">
        <x:f>IFERROR(B28/B27-1,"")</x:f>
        <x:v>-0.0002039775624682605</x:v>
      </x:c>
      <x:c r="E28" t="n">
        <x:f>IFERROR(C28/C27-1,"")</x:f>
        <x:v>0.003306878306878369</x:v>
      </x:c>
      <x:c r="F28" t="n">
        <x:f>IFERROR(D28-E28,"")</x:f>
        <x:v>-0.0035108558693466296</x:v>
      </x:c>
      <x:c r="G28" t="n">
        <x:f>MAX($B$2:B28)</x:f>
        <x:v>1.0115</x:v>
      </x:c>
      <x:c r="H28" t="n">
        <x:f>IFERROR(B28/G28-1,"")</x:f>
        <x:v>-0.030845279288185923</x:v>
      </x:c>
      <x:c r="I28" t="n">
        <x:f>MAX($C$2:C28)</x:f>
        <x:v>1.021</x:v>
      </x:c>
      <x:c r="J28" t="n">
        <x:f>IFERROR(C28/I28-1,"")</x:f>
        <x:v>-0.1085210577864838</x:v>
      </x:c>
      <x:c r="K28" t="n">
        <x:f>MAX(ABS(VALUE('Sheet2'!D28)-VALUE('Sheet2'!D27)),ABS(VALUE('Sheet2'!E28)-VALUE('Sheet2'!E27)),ABS(VALUE('Sheet2'!F28)-VALUE('Sheet2'!F27)),ABS(VALUE('Sheet2'!G28)-VALUE('Sheet2'!G27)),ABS(VALUE('Sheet2'!H28)-VALUE('Sheet2'!H27)),ABS(VALUE('Sheet2'!I28)-VALUE('Sheet2'!I27)),ABS(VALUE('Sheet2'!J28)-VALUE('Sheet2'!J27)),ABS(VALUE('Sheet2'!K28)-VALUE('Sheet2'!K27)),ABS(VALUE('Sheet2'!L28)-VALUE('Sheet2'!L27)),ABS(VALUE('Sheet2'!M28)-VALUE('Sheet2'!M27)),ABS(VALUE('Sheet2'!N28)-VALUE('Sheet2'!N27)),ABS(VALUE('Sheet2'!O28)-VALUE('Sheet2'!O27)),ABS(VALUE('Sheet2'!P28)-VALUE('Sheet2'!P27)))</x:f>
        <x:v>0.0012000000000000344</x:v>
      </x:c>
      <x:c r="L28" t="n">
        <x:f>SUM(ABS(VALUE('Sheet2'!D28)-VALUE('Sheet2'!D27)),ABS(VALUE('Sheet2'!E28)-VALUE('Sheet2'!E27)),ABS(VALUE('Sheet2'!F28)-VALUE('Sheet2'!F27)),ABS(VALUE('Sheet2'!G28)-VALUE('Sheet2'!G27)),ABS(VALUE('Sheet2'!H28)-VALUE('Sheet2'!H27)),ABS(VALUE('Sheet2'!I28)-VALUE('Sheet2'!I27)),ABS(VALUE('Sheet2'!J28)-VALUE('Sheet2'!J27)),ABS(VALUE('Sheet2'!K28)-VALUE('Sheet2'!K27)),ABS(VALUE('Sheet2'!L28)-VALUE('Sheet2'!L27)),ABS(VALUE('Sheet2'!M28)-VALUE('Sheet2'!M27)),ABS(VALUE('Sheet2'!N28)-VALUE('Sheet2'!N27)),ABS(VALUE('Sheet2'!O28)-VALUE('Sheet2'!O27)),ABS(VALUE('Sheet2'!P28)-VALUE('Sheet2'!P27)))/2</x:f>
        <x:v>0.0011500000000000225</x:v>
      </x:c>
      <x:c r="M28" t="n">
        <x:f>SUMSQ('Sheet2'!D28:P28)</x:f>
        <x:v>0.23049912</x:v>
      </x:c>
      <x:c r="N28" t="n">
        <x:f>VALUE('Sheet2'!D28)</x:f>
        <x:v>0.2015</x:v>
      </x:c>
    </x:row>
    <x:row r="29">
      <x:c r="A29" t="str">
        <x:f>'Sheet2'!A29</x:f>
        <x:v>2023-11-10</x:v>
      </x:c>
      <x:c r="B29" t="n">
        <x:f>VALUE('Sheet2'!B29)</x:f>
        <x:v>0.9891</x:v>
      </x:c>
      <x:c r="C29" t="n">
        <x:f>VALUE('Sheet2'!C29)</x:f>
        <x:v>0.9108</x:v>
      </x:c>
      <x:c r="D29" t="n">
        <x:f>IFERROR(B29/B28-1,"")</x:f>
        <x:v>0.008976843823319314</x:v>
      </x:c>
      <x:c r="E29" t="n">
        <x:f>IFERROR(C29/C28-1,"")</x:f>
        <x:v>0.0006591957811470373</x:v>
      </x:c>
      <x:c r="F29" t="n">
        <x:f>IFERROR(D29-E29,"")</x:f>
        <x:v>0.008317648042172276</x:v>
      </x:c>
      <x:c r="G29" t="n">
        <x:f>MAX($B$2:B29)</x:f>
        <x:v>1.0115</x:v>
      </x:c>
      <x:c r="H29" t="n">
        <x:f>IFERROR(B29/G29-1,"")</x:f>
        <x:v>-0.0221453287197233</x:v>
      </x:c>
      <x:c r="I29" t="n">
        <x:f>MAX($C$2:C29)</x:f>
        <x:v>1.021</x:v>
      </x:c>
      <x:c r="J29" t="n">
        <x:f>IFERROR(C29/I29-1,"")</x:f>
        <x:v>-0.10793339862879514</x:v>
      </x:c>
      <x:c r="K29" t="n">
        <x:f>MAX(ABS(VALUE('Sheet2'!D29)-VALUE('Sheet2'!D28)),ABS(VALUE('Sheet2'!E29)-VALUE('Sheet2'!E28)),ABS(VALUE('Sheet2'!F29)-VALUE('Sheet2'!F28)),ABS(VALUE('Sheet2'!G29)-VALUE('Sheet2'!G28)),ABS(VALUE('Sheet2'!H29)-VALUE('Sheet2'!H28)),ABS(VALUE('Sheet2'!I29)-VALUE('Sheet2'!I28)),ABS(VALUE('Sheet2'!J29)-VALUE('Sheet2'!J28)),ABS(VALUE('Sheet2'!K29)-VALUE('Sheet2'!K28)),ABS(VALUE('Sheet2'!L29)-VALUE('Sheet2'!L28)),ABS(VALUE('Sheet2'!M29)-VALUE('Sheet2'!M28)),ABS(VALUE('Sheet2'!N29)-VALUE('Sheet2'!N28)),ABS(VALUE('Sheet2'!O29)-VALUE('Sheet2'!O28)),ABS(VALUE('Sheet2'!P29)-VALUE('Sheet2'!P28)))</x:f>
        <x:v>0.021399999999999975</x:v>
      </x:c>
      <x:c r="L29" t="n">
        <x:f>SUM(ABS(VALUE('Sheet2'!D29)-VALUE('Sheet2'!D28)),ABS(VALUE('Sheet2'!E29)-VALUE('Sheet2'!E28)),ABS(VALUE('Sheet2'!F29)-VALUE('Sheet2'!F28)),ABS(VALUE('Sheet2'!G29)-VALUE('Sheet2'!G28)),ABS(VALUE('Sheet2'!H29)-VALUE('Sheet2'!H28)),ABS(VALUE('Sheet2'!I29)-VALUE('Sheet2'!I28)),ABS(VALUE('Sheet2'!J29)-VALUE('Sheet2'!J28)),ABS(VALUE('Sheet2'!K29)-VALUE('Sheet2'!K28)),ABS(VALUE('Sheet2'!L29)-VALUE('Sheet2'!L28)),ABS(VALUE('Sheet2'!M29)-VALUE('Sheet2'!M28)),ABS(VALUE('Sheet2'!N29)-VALUE('Sheet2'!N28)),ABS(VALUE('Sheet2'!O29)-VALUE('Sheet2'!O28)),ABS(VALUE('Sheet2'!P29)-VALUE('Sheet2'!P28)))/2</x:f>
        <x:v>0.021949999999999987</x:v>
      </x:c>
      <x:c r="M29" t="n">
        <x:f>SUMSQ('Sheet2'!D29:P29)</x:f>
        <x:v>0.23989545</x:v>
      </x:c>
      <x:c r="N29" t="n">
        <x:f>VALUE('Sheet2'!D29)</x:f>
        <x:v>0.1824</x:v>
      </x:c>
    </x:row>
    <x:row r="30">
      <x:c r="A30" t="str">
        <x:f>'Sheet2'!A30</x:f>
        <x:v>2023-11-17</x:v>
      </x:c>
      <x:c r="B30" t="n">
        <x:f>VALUE('Sheet2'!B30)</x:f>
        <x:v>0.9983</x:v>
      </x:c>
      <x:c r="C30" t="n">
        <x:f>VALUE('Sheet2'!C30)</x:f>
        <x:v>0.9061</x:v>
      </x:c>
      <x:c r="D30" t="n">
        <x:f>IFERROR(B30/B29-1,"")</x:f>
        <x:v>0.009301385097563397</x:v>
      </x:c>
      <x:c r="E30" t="n">
        <x:f>IFERROR(C30/C29-1,"")</x:f>
        <x:v>-0.005160298638559602</x:v>
      </x:c>
      <x:c r="F30" t="n">
        <x:f>IFERROR(D30-E30,"")</x:f>
        <x:v>0.014461683736122999</x:v>
      </x:c>
      <x:c r="G30" t="n">
        <x:f>MAX($B$2:B30)</x:f>
        <x:v>1.0115</x:v>
      </x:c>
      <x:c r="H30" t="n">
        <x:f>IFERROR(B30/G30-1,"")</x:f>
        <x:v>-0.013049925852694155</x:v>
      </x:c>
      <x:c r="I30" t="n">
        <x:f>MAX($C$2:C30)</x:f>
        <x:v>1.021</x:v>
      </x:c>
      <x:c r="J30" t="n">
        <x:f>IFERROR(C30/I30-1,"")</x:f>
        <x:v>-0.11253672869735543</x:v>
      </x:c>
      <x:c r="K30" t="n">
        <x:f>MAX(ABS(VALUE('Sheet2'!D30)-VALUE('Sheet2'!D29)),ABS(VALUE('Sheet2'!E30)-VALUE('Sheet2'!E29)),ABS(VALUE('Sheet2'!F30)-VALUE('Sheet2'!F29)),ABS(VALUE('Sheet2'!G30)-VALUE('Sheet2'!G29)),ABS(VALUE('Sheet2'!H30)-VALUE('Sheet2'!H29)),ABS(VALUE('Sheet2'!I30)-VALUE('Sheet2'!I29)),ABS(VALUE('Sheet2'!J30)-VALUE('Sheet2'!J29)),ABS(VALUE('Sheet2'!K30)-VALUE('Sheet2'!K29)),ABS(VALUE('Sheet2'!L30)-VALUE('Sheet2'!L29)),ABS(VALUE('Sheet2'!M30)-VALUE('Sheet2'!M29)),ABS(VALUE('Sheet2'!N30)-VALUE('Sheet2'!N29)),ABS(VALUE('Sheet2'!O30)-VALUE('Sheet2'!O29)),ABS(VALUE('Sheet2'!P30)-VALUE('Sheet2'!P29)))</x:f>
        <x:v>0.1014</x:v>
      </x:c>
      <x:c r="L30" t="n">
        <x:f>SUM(ABS(VALUE('Sheet2'!D30)-VALUE('Sheet2'!D29)),ABS(VALUE('Sheet2'!E30)-VALUE('Sheet2'!E29)),ABS(VALUE('Sheet2'!F30)-VALUE('Sheet2'!F29)),ABS(VALUE('Sheet2'!G30)-VALUE('Sheet2'!G29)),ABS(VALUE('Sheet2'!H30)-VALUE('Sheet2'!H29)),ABS(VALUE('Sheet2'!I30)-VALUE('Sheet2'!I29)),ABS(VALUE('Sheet2'!J30)-VALUE('Sheet2'!J29)),ABS(VALUE('Sheet2'!K30)-VALUE('Sheet2'!K29)),ABS(VALUE('Sheet2'!L30)-VALUE('Sheet2'!L29)),ABS(VALUE('Sheet2'!M30)-VALUE('Sheet2'!M29)),ABS(VALUE('Sheet2'!N30)-VALUE('Sheet2'!N29)),ABS(VALUE('Sheet2'!O30)-VALUE('Sheet2'!O29)),ABS(VALUE('Sheet2'!P30)-VALUE('Sheet2'!P29)))/2</x:f>
        <x:v>0.10189999999999999</x:v>
      </x:c>
      <x:c r="M30" t="n">
        <x:f>SUMSQ('Sheet2'!D30:P30)</x:f>
        <x:v>0.27758827</x:v>
      </x:c>
      <x:c r="N30" t="n">
        <x:f>VALUE('Sheet2'!D30)</x:f>
        <x:v>0.2804</x:v>
      </x:c>
    </x:row>
    <x:row r="31">
      <x:c r="A31" t="str">
        <x:f>'Sheet2'!A31</x:f>
        <x:v>2023-11-24</x:v>
      </x:c>
      <x:c r="B31" t="n">
        <x:f>VALUE('Sheet2'!B31)</x:f>
        <x:v>0.9943</x:v>
      </x:c>
      <x:c r="C31" t="n">
        <x:f>VALUE('Sheet2'!C31)</x:f>
        <x:v>0.8985</x:v>
      </x:c>
      <x:c r="D31" t="n">
        <x:f>IFERROR(B31/B30-1,"")</x:f>
        <x:v>-0.004006811579685521</x:v>
      </x:c>
      <x:c r="E31" t="n">
        <x:f>IFERROR(C31/C30-1,"")</x:f>
        <x:v>-0.008387595188169117</x:v>
      </x:c>
      <x:c r="F31" t="n">
        <x:f>IFERROR(D31-E31,"")</x:f>
        <x:v>0.004380783608483596</x:v>
      </x:c>
      <x:c r="G31" t="n">
        <x:f>MAX($B$2:B31)</x:f>
        <x:v>1.0115</x:v>
      </x:c>
      <x:c r="H31" t="n">
        <x:f>IFERROR(B31/G31-1,"")</x:f>
        <x:v>-0.017004448838358943</x:v>
      </x:c>
      <x:c r="I31" t="n">
        <x:f>MAX($C$2:C31)</x:f>
        <x:v>1.021</x:v>
      </x:c>
      <x:c r="J31" t="n">
        <x:f>IFERROR(C31/I31-1,"")</x:f>
        <x:v>-0.11998041136141036</x:v>
      </x:c>
      <x:c r="K31" t="n">
        <x:f>MAX(ABS(VALUE('Sheet2'!D31)-VALUE('Sheet2'!D30)),ABS(VALUE('Sheet2'!E31)-VALUE('Sheet2'!E30)),ABS(VALUE('Sheet2'!F31)-VALUE('Sheet2'!F30)),ABS(VALUE('Sheet2'!G31)-VALUE('Sheet2'!G30)),ABS(VALUE('Sheet2'!H31)-VALUE('Sheet2'!H30)),ABS(VALUE('Sheet2'!I31)-VALUE('Sheet2'!I30)),ABS(VALUE('Sheet2'!J31)-VALUE('Sheet2'!J30)),ABS(VALUE('Sheet2'!K31)-VALUE('Sheet2'!K30)),ABS(VALUE('Sheet2'!L31)-VALUE('Sheet2'!L30)),ABS(VALUE('Sheet2'!M31)-VALUE('Sheet2'!M30)),ABS(VALUE('Sheet2'!N31)-VALUE('Sheet2'!N30)),ABS(VALUE('Sheet2'!O31)-VALUE('Sheet2'!O30)),ABS(VALUE('Sheet2'!P31)-VALUE('Sheet2'!P30)))</x:f>
        <x:v>0.1</x:v>
      </x:c>
      <x:c r="L31" t="n">
        <x:f>SUM(ABS(VALUE('Sheet2'!D31)-VALUE('Sheet2'!D30)),ABS(VALUE('Sheet2'!E31)-VALUE('Sheet2'!E30)),ABS(VALUE('Sheet2'!F31)-VALUE('Sheet2'!F30)),ABS(VALUE('Sheet2'!G31)-VALUE('Sheet2'!G30)),ABS(VALUE('Sheet2'!H31)-VALUE('Sheet2'!H30)),ABS(VALUE('Sheet2'!I31)-VALUE('Sheet2'!I30)),ABS(VALUE('Sheet2'!J31)-VALUE('Sheet2'!J30)),ABS(VALUE('Sheet2'!K31)-VALUE('Sheet2'!K30)),ABS(VALUE('Sheet2'!L31)-VALUE('Sheet2'!L30)),ABS(VALUE('Sheet2'!M31)-VALUE('Sheet2'!M30)),ABS(VALUE('Sheet2'!N31)-VALUE('Sheet2'!N30)),ABS(VALUE('Sheet2'!O31)-VALUE('Sheet2'!O30)),ABS(VALUE('Sheet2'!P31)-VALUE('Sheet2'!P30)))/2</x:f>
        <x:v>0.10099999999999999</x:v>
      </x:c>
      <x:c r="M31" t="n">
        <x:f>SUMSQ('Sheet2'!D31:P31)</x:f>
        <x:v>0.24090287000000002</x:v>
      </x:c>
      <x:c r="N31" t="n">
        <x:f>VALUE('Sheet2'!D31)</x:f>
        <x:v>0.1806</x:v>
      </x:c>
    </x:row>
    <x:row r="32">
      <x:c r="A32" t="str">
        <x:f>'Sheet2'!A32</x:f>
        <x:v>2023-11-30</x:v>
      </x:c>
      <x:c r="B32" t="n">
        <x:f>VALUE('Sheet2'!B32)</x:f>
        <x:v>0.9919</x:v>
      </x:c>
      <x:c r="C32" t="n">
        <x:f>VALUE('Sheet2'!C32)</x:f>
        <x:v>0.8879</x:v>
      </x:c>
      <x:c r="D32" t="n">
        <x:f>IFERROR(B32/B31-1,"")</x:f>
        <x:v>-0.0024137584230111697</x:v>
      </x:c>
      <x:c r="E32" t="n">
        <x:f>IFERROR(C32/C31-1,"")</x:f>
        <x:v>-0.011797440178074492</x:v>
      </x:c>
      <x:c r="F32" t="n">
        <x:f>IFERROR(D32-E32,"")</x:f>
        <x:v>0.009383681755063322</x:v>
      </x:c>
      <x:c r="G32" t="n">
        <x:f>MAX($B$2:B32)</x:f>
        <x:v>1.0115</x:v>
      </x:c>
      <x:c r="H32" t="n">
        <x:f>IFERROR(B32/G32-1,"")</x:f>
        <x:v>-0.01937716262975786</x:v>
      </x:c>
      <x:c r="I32" t="n">
        <x:f>MAX($C$2:C32)</x:f>
        <x:v>1.021</x:v>
      </x:c>
      <x:c r="J32" t="n">
        <x:f>IFERROR(C32/I32-1,"")</x:f>
        <x:v>-0.1303623898139078</x:v>
      </x:c>
      <x:c r="K32" t="n">
        <x:f>MAX(ABS(VALUE('Sheet2'!D32)-VALUE('Sheet2'!D31)),ABS(VALUE('Sheet2'!E32)-VALUE('Sheet2'!E31)),ABS(VALUE('Sheet2'!F32)-VALUE('Sheet2'!F31)),ABS(VALUE('Sheet2'!G32)-VALUE('Sheet2'!G31)),ABS(VALUE('Sheet2'!H32)-VALUE('Sheet2'!H31)),ABS(VALUE('Sheet2'!I32)-VALUE('Sheet2'!I31)),ABS(VALUE('Sheet2'!J32)-VALUE('Sheet2'!J31)),ABS(VALUE('Sheet2'!K32)-VALUE('Sheet2'!K31)),ABS(VALUE('Sheet2'!L32)-VALUE('Sheet2'!L31)),ABS(VALUE('Sheet2'!M32)-VALUE('Sheet2'!M31)),ABS(VALUE('Sheet2'!N32)-VALUE('Sheet2'!N31)),ABS(VALUE('Sheet2'!O32)-VALUE('Sheet2'!O31)),ABS(VALUE('Sheet2'!P32)-VALUE('Sheet2'!P31)))</x:f>
        <x:v>0.050499999999999996</x:v>
      </x:c>
      <x:c r="L32" t="n">
        <x:f>SUM(ABS(VALUE('Sheet2'!D32)-VALUE('Sheet2'!D31)),ABS(VALUE('Sheet2'!E32)-VALUE('Sheet2'!E31)),ABS(VALUE('Sheet2'!F32)-VALUE('Sheet2'!F31)),ABS(VALUE('Sheet2'!G32)-VALUE('Sheet2'!G31)),ABS(VALUE('Sheet2'!H32)-VALUE('Sheet2'!H31)),ABS(VALUE('Sheet2'!I32)-VALUE('Sheet2'!I31)),ABS(VALUE('Sheet2'!J32)-VALUE('Sheet2'!J31)),ABS(VALUE('Sheet2'!K32)-VALUE('Sheet2'!K31)),ABS(VALUE('Sheet2'!L32)-VALUE('Sheet2'!L31)),ABS(VALUE('Sheet2'!M32)-VALUE('Sheet2'!M31)),ABS(VALUE('Sheet2'!N32)-VALUE('Sheet2'!N31)),ABS(VALUE('Sheet2'!O32)-VALUE('Sheet2'!O31)),ABS(VALUE('Sheet2'!P32)-VALUE('Sheet2'!P31)))/2</x:f>
        <x:v>0.05105</x:v>
      </x:c>
      <x:c r="M32" t="n">
        <x:f>SUMSQ('Sheet2'!D32:P32)</x:f>
        <x:v>0.2324533</x:v>
      </x:c>
      <x:c r="N32" t="n">
        <x:f>VALUE('Sheet2'!D32)</x:f>
        <x:v>0.1304</x:v>
      </x:c>
    </x:row>
    <x:row r="33">
      <x:c r="A33" t="str">
        <x:f>'Sheet2'!A33</x:f>
        <x:v>2023-12-01</x:v>
      </x:c>
      <x:c r="B33" t="n">
        <x:f>VALUE('Sheet2'!B33)</x:f>
        <x:v>0.9958</x:v>
      </x:c>
      <x:c r="C33" t="n">
        <x:f>VALUE('Sheet2'!C33)</x:f>
        <x:v>0.8845</x:v>
      </x:c>
      <x:c r="D33" t="n">
        <x:f>IFERROR(B33/B32-1,"")</x:f>
        <x:v>0.003931847968545288</x:v>
      </x:c>
      <x:c r="E33" t="n">
        <x:f>IFERROR(C33/C32-1,"")</x:f>
        <x:v>-0.0038292600518077258</x:v>
      </x:c>
      <x:c r="F33" t="n">
        <x:f>IFERROR(D33-E33,"")</x:f>
        <x:v>0.007761108020353014</x:v>
      </x:c>
      <x:c r="G33" t="n">
        <x:f>MAX($B$2:B33)</x:f>
        <x:v>1.0115</x:v>
      </x:c>
      <x:c r="H33" t="n">
        <x:f>IFERROR(B33/G33-1,"")</x:f>
        <x:v>-0.015521502718734648</x:v>
      </x:c>
      <x:c r="I33" t="n">
        <x:f>MAX($C$2:C33)</x:f>
        <x:v>1.021</x:v>
      </x:c>
      <x:c r="J33" t="n">
        <x:f>IFERROR(C33/I33-1,"")</x:f>
        <x:v>-0.133692458374143</x:v>
      </x:c>
      <x:c r="K33" t="n">
        <x:f>MAX(ABS(VALUE('Sheet2'!D33)-VALUE('Sheet2'!D32)),ABS(VALUE('Sheet2'!E33)-VALUE('Sheet2'!E32)),ABS(VALUE('Sheet2'!F33)-VALUE('Sheet2'!F32)),ABS(VALUE('Sheet2'!G33)-VALUE('Sheet2'!G32)),ABS(VALUE('Sheet2'!H33)-VALUE('Sheet2'!H32)),ABS(VALUE('Sheet2'!I33)-VALUE('Sheet2'!I32)),ABS(VALUE('Sheet2'!J33)-VALUE('Sheet2'!J32)),ABS(VALUE('Sheet2'!K33)-VALUE('Sheet2'!K32)),ABS(VALUE('Sheet2'!L33)-VALUE('Sheet2'!L32)),ABS(VALUE('Sheet2'!M33)-VALUE('Sheet2'!M32)),ABS(VALUE('Sheet2'!N33)-VALUE('Sheet2'!N32)),ABS(VALUE('Sheet2'!O33)-VALUE('Sheet2'!O32)),ABS(VALUE('Sheet2'!P33)-VALUE('Sheet2'!P32)))</x:f>
        <x:v>0.0009000000000000119</x:v>
      </x:c>
      <x:c r="L33" t="n">
        <x:f>SUM(ABS(VALUE('Sheet2'!D33)-VALUE('Sheet2'!D32)),ABS(VALUE('Sheet2'!E33)-VALUE('Sheet2'!E32)),ABS(VALUE('Sheet2'!F33)-VALUE('Sheet2'!F32)),ABS(VALUE('Sheet2'!G33)-VALUE('Sheet2'!G32)),ABS(VALUE('Sheet2'!H33)-VALUE('Sheet2'!H32)),ABS(VALUE('Sheet2'!I33)-VALUE('Sheet2'!I32)),ABS(VALUE('Sheet2'!J33)-VALUE('Sheet2'!J32)),ABS(VALUE('Sheet2'!K33)-VALUE('Sheet2'!K32)),ABS(VALUE('Sheet2'!L33)-VALUE('Sheet2'!L32)),ABS(VALUE('Sheet2'!M33)-VALUE('Sheet2'!M32)),ABS(VALUE('Sheet2'!N33)-VALUE('Sheet2'!N32)),ABS(VALUE('Sheet2'!O33)-VALUE('Sheet2'!O32)),ABS(VALUE('Sheet2'!P33)-VALUE('Sheet2'!P32)))/2</x:f>
        <x:v>0.0010500000000000058</x:v>
      </x:c>
      <x:c r="M33" t="n">
        <x:f>SUMSQ('Sheet2'!D33:P33)</x:f>
        <x:v>0.23302889</x:v>
      </x:c>
      <x:c r="N33" t="n">
        <x:f>VALUE('Sheet2'!D33)</x:f>
        <x:v>0.1299</x:v>
      </x:c>
    </x:row>
    <x:row r="34">
      <x:c r="A34" t="str">
        <x:f>'Sheet2'!A34</x:f>
        <x:v>2023-12-08</x:v>
      </x:c>
      <x:c r="B34" t="n">
        <x:f>VALUE('Sheet2'!B34)</x:f>
        <x:v>0.9842</x:v>
      </x:c>
      <x:c r="C34" t="n">
        <x:f>VALUE('Sheet2'!C34)</x:f>
        <x:v>0.8633</x:v>
      </x:c>
      <x:c r="D34" t="n">
        <x:f>IFERROR(B34/B33-1,"")</x:f>
        <x:v>-0.011648925487045658</x:v>
      </x:c>
      <x:c r="E34" t="n">
        <x:f>IFERROR(C34/C33-1,"")</x:f>
        <x:v>-0.023968343697003958</x:v>
      </x:c>
      <x:c r="F34" t="n">
        <x:f>IFERROR(D34-E34,"")</x:f>
        <x:v>0.0123194182099583</x:v>
      </x:c>
      <x:c r="G34" t="n">
        <x:f>MAX($B$2:B34)</x:f>
        <x:v>1.0115</x:v>
      </x:c>
      <x:c r="H34" t="n">
        <x:f>IFERROR(B34/G34-1,"")</x:f>
        <x:v>-0.02698961937716271</x:v>
      </x:c>
      <x:c r="I34" t="n">
        <x:f>MAX($C$2:C34)</x:f>
        <x:v>1.021</x:v>
      </x:c>
      <x:c r="J34" t="n">
        <x:f>IFERROR(C34/I34-1,"")</x:f>
        <x:v>-0.15445641527913812</x:v>
      </x:c>
      <x:c r="K34" t="n">
        <x:f>MAX(ABS(VALUE('Sheet2'!D34)-VALUE('Sheet2'!D33)),ABS(VALUE('Sheet2'!E34)-VALUE('Sheet2'!E33)),ABS(VALUE('Sheet2'!F34)-VALUE('Sheet2'!F33)),ABS(VALUE('Sheet2'!G34)-VALUE('Sheet2'!G33)),ABS(VALUE('Sheet2'!H34)-VALUE('Sheet2'!H33)),ABS(VALUE('Sheet2'!I34)-VALUE('Sheet2'!I33)),ABS(VALUE('Sheet2'!J34)-VALUE('Sheet2'!J33)),ABS(VALUE('Sheet2'!K34)-VALUE('Sheet2'!K33)),ABS(VALUE('Sheet2'!L34)-VALUE('Sheet2'!L33)),ABS(VALUE('Sheet2'!M34)-VALUE('Sheet2'!M33)),ABS(VALUE('Sheet2'!N34)-VALUE('Sheet2'!N33)),ABS(VALUE('Sheet2'!O34)-VALUE('Sheet2'!O33)),ABS(VALUE('Sheet2'!P34)-VALUE('Sheet2'!P33)))</x:f>
        <x:v>0.002599999999999991</x:v>
      </x:c>
      <x:c r="L34" t="n">
        <x:f>SUM(ABS(VALUE('Sheet2'!D34)-VALUE('Sheet2'!D33)),ABS(VALUE('Sheet2'!E34)-VALUE('Sheet2'!E33)),ABS(VALUE('Sheet2'!F34)-VALUE('Sheet2'!F33)),ABS(VALUE('Sheet2'!G34)-VALUE('Sheet2'!G33)),ABS(VALUE('Sheet2'!H34)-VALUE('Sheet2'!H33)),ABS(VALUE('Sheet2'!I34)-VALUE('Sheet2'!I33)),ABS(VALUE('Sheet2'!J34)-VALUE('Sheet2'!J33)),ABS(VALUE('Sheet2'!K34)-VALUE('Sheet2'!K33)),ABS(VALUE('Sheet2'!L34)-VALUE('Sheet2'!L33)),ABS(VALUE('Sheet2'!M34)-VALUE('Sheet2'!M33)),ABS(VALUE('Sheet2'!N34)-VALUE('Sheet2'!N33)),ABS(VALUE('Sheet2'!O34)-VALUE('Sheet2'!O33)),ABS(VALUE('Sheet2'!P34)-VALUE('Sheet2'!P33)))/2</x:f>
        <x:v>0.003549999999999994</x:v>
      </x:c>
      <x:c r="M34" t="n">
        <x:f>SUMSQ('Sheet2'!D34:P34)</x:f>
        <x:v>0.23142232000000001</x:v>
      </x:c>
      <x:c r="N34" t="n">
        <x:f>VALUE('Sheet2'!D34)</x:f>
        <x:v>0.1311</x:v>
      </x:c>
    </x:row>
    <x:row r="35">
      <x:c r="A35" t="str">
        <x:f>'Sheet2'!A35</x:f>
        <x:v>2023-12-15</x:v>
      </x:c>
      <x:c r="B35" t="n">
        <x:f>VALUE('Sheet2'!B35)</x:f>
        <x:v>0.9816</x:v>
      </x:c>
      <x:c r="C35" t="n">
        <x:f>VALUE('Sheet2'!C35)</x:f>
        <x:v>0.8486</x:v>
      </x:c>
      <x:c r="D35" t="n">
        <x:f>IFERROR(B35/B34-1,"")</x:f>
        <x:v>-0.0026417394838447184</x:v>
      </x:c>
      <x:c r="E35" t="n">
        <x:f>IFERROR(C35/C34-1,"")</x:f>
        <x:v>-0.01702768446658165</x:v>
      </x:c>
      <x:c r="F35" t="n">
        <x:f>IFERROR(D35-E35,"")</x:f>
        <x:v>0.014385944982736931</x:v>
      </x:c>
      <x:c r="G35" t="n">
        <x:f>MAX($B$2:B35)</x:f>
        <x:v>1.0115</x:v>
      </x:c>
      <x:c r="H35" t="n">
        <x:f>IFERROR(B35/G35-1,"")</x:f>
        <x:v>-0.029560059317844778</x:v>
      </x:c>
      <x:c r="I35" t="n">
        <x:f>MAX($C$2:C35)</x:f>
        <x:v>1.021</x:v>
      </x:c>
      <x:c r="J35" t="n">
        <x:f>IFERROR(C35/I35-1,"")</x:f>
        <x:v>-0.1688540646425073</x:v>
      </x:c>
      <x:c r="K35" t="n">
        <x:f>MAX(ABS(VALUE('Sheet2'!D35)-VALUE('Sheet2'!D34)),ABS(VALUE('Sheet2'!E35)-VALUE('Sheet2'!E34)),ABS(VALUE('Sheet2'!F35)-VALUE('Sheet2'!F34)),ABS(VALUE('Sheet2'!G35)-VALUE('Sheet2'!G34)),ABS(VALUE('Sheet2'!H35)-VALUE('Sheet2'!H34)),ABS(VALUE('Sheet2'!I35)-VALUE('Sheet2'!I34)),ABS(VALUE('Sheet2'!J35)-VALUE('Sheet2'!J34)),ABS(VALUE('Sheet2'!K35)-VALUE('Sheet2'!K34)),ABS(VALUE('Sheet2'!L35)-VALUE('Sheet2'!L34)),ABS(VALUE('Sheet2'!M35)-VALUE('Sheet2'!M34)),ABS(VALUE('Sheet2'!N35)-VALUE('Sheet2'!N34)),ABS(VALUE('Sheet2'!O35)-VALUE('Sheet2'!O34)),ABS(VALUE('Sheet2'!P35)-VALUE('Sheet2'!P34)))</x:f>
        <x:v>0.010099999999999998</x:v>
      </x:c>
      <x:c r="L35" t="n">
        <x:f>SUM(ABS(VALUE('Sheet2'!D35)-VALUE('Sheet2'!D34)),ABS(VALUE('Sheet2'!E35)-VALUE('Sheet2'!E34)),ABS(VALUE('Sheet2'!F35)-VALUE('Sheet2'!F34)),ABS(VALUE('Sheet2'!G35)-VALUE('Sheet2'!G34)),ABS(VALUE('Sheet2'!H35)-VALUE('Sheet2'!H34)),ABS(VALUE('Sheet2'!I35)-VALUE('Sheet2'!I34)),ABS(VALUE('Sheet2'!J35)-VALUE('Sheet2'!J34)),ABS(VALUE('Sheet2'!K35)-VALUE('Sheet2'!K34)),ABS(VALUE('Sheet2'!L35)-VALUE('Sheet2'!L34)),ABS(VALUE('Sheet2'!M35)-VALUE('Sheet2'!M34)),ABS(VALUE('Sheet2'!N35)-VALUE('Sheet2'!N34)),ABS(VALUE('Sheet2'!O35)-VALUE('Sheet2'!O34)),ABS(VALUE('Sheet2'!P35)-VALUE('Sheet2'!P34)))/2</x:f>
        <x:v>0.01125</x:v>
      </x:c>
      <x:c r="M35" t="n">
        <x:f>SUMSQ('Sheet2'!D35:P35)</x:f>
        <x:v>0.22589563000000001</x:v>
      </x:c>
      <x:c r="N35" t="n">
        <x:f>VALUE('Sheet2'!D35)</x:f>
        <x:v>0.1411</x:v>
      </x:c>
    </x:row>
    <x:row r="36">
      <x:c r="A36" t="str">
        <x:f>'Sheet2'!A36</x:f>
        <x:v>2023-12-22</x:v>
      </x:c>
      <x:c r="B36" t="n">
        <x:f>VALUE('Sheet2'!B36)</x:f>
        <x:v>0.9659</x:v>
      </x:c>
      <x:c r="C36" t="n">
        <x:f>VALUE('Sheet2'!C36)</x:f>
        <x:v>0.8475</x:v>
      </x:c>
      <x:c r="D36" t="n">
        <x:f>IFERROR(B36/B35-1,"")</x:f>
        <x:v>-0.015994295028524896</x:v>
      </x:c>
      <x:c r="E36" t="n">
        <x:f>IFERROR(C36/C35-1,"")</x:f>
        <x:v>-0.0012962526514258554</x:v>
      </x:c>
      <x:c r="F36" t="n">
        <x:f>IFERROR(D36-E36,"")</x:f>
        <x:v>-0.014698042377099041</x:v>
      </x:c>
      <x:c r="G36" t="n">
        <x:f>MAX($B$2:B36)</x:f>
        <x:v>1.0115</x:v>
      </x:c>
      <x:c r="H36" t="n">
        <x:f>IFERROR(B36/G36-1,"")</x:f>
        <x:v>-0.045081562036579426</x:v>
      </x:c>
      <x:c r="I36" t="n">
        <x:f>MAX($C$2:C36)</x:f>
        <x:v>1.021</x:v>
      </x:c>
      <x:c r="J36" t="n">
        <x:f>IFERROR(C36/I36-1,"")</x:f>
        <x:v>-0.1699314397649362</x:v>
      </x:c>
      <x:c r="K36" t="n">
        <x:f>MAX(ABS(VALUE('Sheet2'!D36)-VALUE('Sheet2'!D35)),ABS(VALUE('Sheet2'!E36)-VALUE('Sheet2'!E35)),ABS(VALUE('Sheet2'!F36)-VALUE('Sheet2'!F35)),ABS(VALUE('Sheet2'!G36)-VALUE('Sheet2'!G35)),ABS(VALUE('Sheet2'!H36)-VALUE('Sheet2'!H35)),ABS(VALUE('Sheet2'!I36)-VALUE('Sheet2'!I35)),ABS(VALUE('Sheet2'!J36)-VALUE('Sheet2'!J35)),ABS(VALUE('Sheet2'!K36)-VALUE('Sheet2'!K35)),ABS(VALUE('Sheet2'!L36)-VALUE('Sheet2'!L35)),ABS(VALUE('Sheet2'!M36)-VALUE('Sheet2'!M35)),ABS(VALUE('Sheet2'!N36)-VALUE('Sheet2'!N35)),ABS(VALUE('Sheet2'!O36)-VALUE('Sheet2'!O35)),ABS(VALUE('Sheet2'!P36)-VALUE('Sheet2'!P35)))</x:f>
        <x:v>0.008000000000000007</x:v>
      </x:c>
      <x:c r="L36" t="n">
        <x:f>SUM(ABS(VALUE('Sheet2'!D36)-VALUE('Sheet2'!D35)),ABS(VALUE('Sheet2'!E36)-VALUE('Sheet2'!E35)),ABS(VALUE('Sheet2'!F36)-VALUE('Sheet2'!F35)),ABS(VALUE('Sheet2'!G36)-VALUE('Sheet2'!G35)),ABS(VALUE('Sheet2'!H36)-VALUE('Sheet2'!H35)),ABS(VALUE('Sheet2'!I36)-VALUE('Sheet2'!I35)),ABS(VALUE('Sheet2'!J36)-VALUE('Sheet2'!J35)),ABS(VALUE('Sheet2'!K36)-VALUE('Sheet2'!K35)),ABS(VALUE('Sheet2'!L36)-VALUE('Sheet2'!L35)),ABS(VALUE('Sheet2'!M36)-VALUE('Sheet2'!M35)),ABS(VALUE('Sheet2'!N36)-VALUE('Sheet2'!N35)),ABS(VALUE('Sheet2'!O36)-VALUE('Sheet2'!O35)),ABS(VALUE('Sheet2'!P36)-VALUE('Sheet2'!P35)))/2</x:f>
        <x:v>0.009049999999999985</x:v>
      </x:c>
      <x:c r="M36" t="n">
        <x:f>SUMSQ('Sheet2'!D36:P36)</x:f>
        <x:v>0.22885856000000002</x:v>
      </x:c>
      <x:c r="N36" t="n">
        <x:f>VALUE('Sheet2'!D36)</x:f>
        <x:v>0.1331</x:v>
      </x:c>
    </x:row>
    <x:row r="37">
      <x:c r="A37" t="str">
        <x:f>'Sheet2'!A37</x:f>
        <x:v>2023-12-29</x:v>
      </x:c>
      <x:c r="B37" t="n">
        <x:f>VALUE('Sheet2'!B37)</x:f>
        <x:v>0.9813</x:v>
      </x:c>
      <x:c r="C37" t="n">
        <x:f>VALUE('Sheet2'!C37)</x:f>
        <x:v>0.8713</x:v>
      </x:c>
      <x:c r="D37" t="n">
        <x:f>IFERROR(B37/B36-1,"")</x:f>
        <x:v>0.015943679469924366</x:v>
      </x:c>
      <x:c r="E37" t="n">
        <x:f>IFERROR(C37/C36-1,"")</x:f>
        <x:v>0.02808259587020645</x:v>
      </x:c>
      <x:c r="F37" t="n">
        <x:f>IFERROR(D37-E37,"")</x:f>
        <x:v>-0.012138916400282085</x:v>
      </x:c>
      <x:c r="G37" t="n">
        <x:f>MAX($B$2:B37)</x:f>
        <x:v>1.0115</x:v>
      </x:c>
      <x:c r="H37" t="n">
        <x:f>IFERROR(B37/G37-1,"")</x:f>
        <x:v>-0.029856648541769726</x:v>
      </x:c>
      <x:c r="I37" t="n">
        <x:f>MAX($C$2:C37)</x:f>
        <x:v>1.021</x:v>
      </x:c>
      <x:c r="J37" t="n">
        <x:f>IFERROR(C37/I37-1,"")</x:f>
        <x:v>-0.14662095984329082</x:v>
      </x:c>
      <x:c r="K37" t="n">
        <x:f>MAX(ABS(VALUE('Sheet2'!D37)-VALUE('Sheet2'!D36)),ABS(VALUE('Sheet2'!E37)-VALUE('Sheet2'!E36)),ABS(VALUE('Sheet2'!F37)-VALUE('Sheet2'!F36)),ABS(VALUE('Sheet2'!G37)-VALUE('Sheet2'!G36)),ABS(VALUE('Sheet2'!H37)-VALUE('Sheet2'!H36)),ABS(VALUE('Sheet2'!I37)-VALUE('Sheet2'!I36)),ABS(VALUE('Sheet2'!J37)-VALUE('Sheet2'!J36)),ABS(VALUE('Sheet2'!K37)-VALUE('Sheet2'!K36)),ABS(VALUE('Sheet2'!L37)-VALUE('Sheet2'!L36)),ABS(VALUE('Sheet2'!M37)-VALUE('Sheet2'!M36)),ABS(VALUE('Sheet2'!N37)-VALUE('Sheet2'!N36)),ABS(VALUE('Sheet2'!O37)-VALUE('Sheet2'!O36)),ABS(VALUE('Sheet2'!P37)-VALUE('Sheet2'!P36)))</x:f>
        <x:v>0.1081</x:v>
      </x:c>
      <x:c r="L37" t="n">
        <x:f>SUM(ABS(VALUE('Sheet2'!D37)-VALUE('Sheet2'!D36)),ABS(VALUE('Sheet2'!E37)-VALUE('Sheet2'!E36)),ABS(VALUE('Sheet2'!F37)-VALUE('Sheet2'!F36)),ABS(VALUE('Sheet2'!G37)-VALUE('Sheet2'!G36)),ABS(VALUE('Sheet2'!H37)-VALUE('Sheet2'!H36)),ABS(VALUE('Sheet2'!I37)-VALUE('Sheet2'!I36)),ABS(VALUE('Sheet2'!J37)-VALUE('Sheet2'!J36)),ABS(VALUE('Sheet2'!K37)-VALUE('Sheet2'!K36)),ABS(VALUE('Sheet2'!L37)-VALUE('Sheet2'!L36)),ABS(VALUE('Sheet2'!M37)-VALUE('Sheet2'!M36)),ABS(VALUE('Sheet2'!N37)-VALUE('Sheet2'!N36)),ABS(VALUE('Sheet2'!O37)-VALUE('Sheet2'!O36)),ABS(VALUE('Sheet2'!P37)-VALUE('Sheet2'!P36)))/2</x:f>
        <x:v>0.1114</x:v>
      </x:c>
      <x:c r="M37" t="n">
        <x:f>SUMSQ('Sheet2'!D37:P37)</x:f>
        <x:v>0.22848174</x:v>
      </x:c>
      <x:c r="N37" t="n">
        <x:f>VALUE('Sheet2'!D37)</x:f>
        <x:v>0.025</x:v>
      </x:c>
    </x:row>
    <x:row r="38">
      <x:c r="A38" t="str">
        <x:f>'Sheet2'!A38</x:f>
        <x:v>2024-01-05</x:v>
      </x:c>
      <x:c r="B38" t="n">
        <x:f>VALUE('Sheet2'!B38)</x:f>
        <x:v>0.9654</x:v>
      </x:c>
      <x:c r="C38" t="n">
        <x:f>VALUE('Sheet2'!C38)</x:f>
        <x:v>0.8454</x:v>
      </x:c>
      <x:c r="D38" t="n">
        <x:f>IFERROR(B38/B37-1,"")</x:f>
        <x:v>-0.016202996025680094</x:v>
      </x:c>
      <x:c r="E38" t="n">
        <x:f>IFERROR(C38/C37-1,"")</x:f>
        <x:v>-0.029725697234018078</x:v>
      </x:c>
      <x:c r="F38" t="n">
        <x:f>IFERROR(D38-E38,"")</x:f>
        <x:v>0.013522701208337984</x:v>
      </x:c>
      <x:c r="G38" t="n">
        <x:f>MAX($B$2:B38)</x:f>
        <x:v>1.0115</x:v>
      </x:c>
      <x:c r="H38" t="n">
        <x:f>IFERROR(B38/G38-1,"")</x:f>
        <x:v>-0.045575877409787524</x:v>
      </x:c>
      <x:c r="I38" t="n">
        <x:f>MAX($C$2:C38)</x:f>
        <x:v>1.021</x:v>
      </x:c>
      <x:c r="J38" t="n">
        <x:f>IFERROR(C38/I38-1,"")</x:f>
        <x:v>-0.1719882468168461</x:v>
      </x:c>
      <x:c r="K38" t="n">
        <x:f>MAX(ABS(VALUE('Sheet2'!D38)-VALUE('Sheet2'!D37)),ABS(VALUE('Sheet2'!E38)-VALUE('Sheet2'!E37)),ABS(VALUE('Sheet2'!F38)-VALUE('Sheet2'!F37)),ABS(VALUE('Sheet2'!G38)-VALUE('Sheet2'!G37)),ABS(VALUE('Sheet2'!H38)-VALUE('Sheet2'!H37)),ABS(VALUE('Sheet2'!I38)-VALUE('Sheet2'!I37)),ABS(VALUE('Sheet2'!J38)-VALUE('Sheet2'!J37)),ABS(VALUE('Sheet2'!K38)-VALUE('Sheet2'!K37)),ABS(VALUE('Sheet2'!L38)-VALUE('Sheet2'!L37)),ABS(VALUE('Sheet2'!M38)-VALUE('Sheet2'!M37)),ABS(VALUE('Sheet2'!N38)-VALUE('Sheet2'!N37)),ABS(VALUE('Sheet2'!O38)-VALUE('Sheet2'!O37)),ABS(VALUE('Sheet2'!P38)-VALUE('Sheet2'!P37)))</x:f>
        <x:v>0.10370000000000001</x:v>
      </x:c>
      <x:c r="L38" t="n">
        <x:f>SUM(ABS(VALUE('Sheet2'!D38)-VALUE('Sheet2'!D37)),ABS(VALUE('Sheet2'!E38)-VALUE('Sheet2'!E37)),ABS(VALUE('Sheet2'!F38)-VALUE('Sheet2'!F37)),ABS(VALUE('Sheet2'!G38)-VALUE('Sheet2'!G37)),ABS(VALUE('Sheet2'!H38)-VALUE('Sheet2'!H37)),ABS(VALUE('Sheet2'!I38)-VALUE('Sheet2'!I37)),ABS(VALUE('Sheet2'!J38)-VALUE('Sheet2'!J37)),ABS(VALUE('Sheet2'!K38)-VALUE('Sheet2'!K37)),ABS(VALUE('Sheet2'!L38)-VALUE('Sheet2'!L37)),ABS(VALUE('Sheet2'!M38)-VALUE('Sheet2'!M37)),ABS(VALUE('Sheet2'!N38)-VALUE('Sheet2'!N37)),ABS(VALUE('Sheet2'!O38)-VALUE('Sheet2'!O37)),ABS(VALUE('Sheet2'!P38)-VALUE('Sheet2'!P37)))/2</x:f>
        <x:v>0.10690000000000002</x:v>
      </x:c>
      <x:c r="M38" t="n">
        <x:f>SUMSQ('Sheet2'!D38:P38)</x:f>
        <x:v>0.2321164</x:v>
      </x:c>
      <x:c r="N38" t="n">
        <x:f>VALUE('Sheet2'!D38)</x:f>
        <x:v>0.1287</x:v>
      </x:c>
    </x:row>
    <x:row r="39">
      <x:c r="A39" t="str">
        <x:f>'Sheet2'!A39</x:f>
        <x:v>2024-01-12</x:v>
      </x:c>
      <x:c r="B39" t="n">
        <x:f>VALUE('Sheet2'!B39)</x:f>
        <x:v>0.9592</x:v>
      </x:c>
      <x:c r="C39" t="n">
        <x:f>VALUE('Sheet2'!C39)</x:f>
        <x:v>0.834</x:v>
      </x:c>
      <x:c r="D39" t="n">
        <x:f>IFERROR(B39/B38-1,"")</x:f>
        <x:v>-0.006422208411021368</x:v>
      </x:c>
      <x:c r="E39" t="n">
        <x:f>IFERROR(C39/C38-1,"")</x:f>
        <x:v>-0.01348474095102914</x:v>
      </x:c>
      <x:c r="F39" t="n">
        <x:f>IFERROR(D39-E39,"")</x:f>
        <x:v>0.007062532540007771</x:v>
      </x:c>
      <x:c r="G39" t="n">
        <x:f>MAX($B$2:B39)</x:f>
        <x:v>1.0115</x:v>
      </x:c>
      <x:c r="H39" t="n">
        <x:f>IFERROR(B39/G39-1,"")</x:f>
        <x:v>-0.05170538803756797</x:v>
      </x:c>
      <x:c r="I39" t="n">
        <x:f>MAX($C$2:C39)</x:f>
        <x:v>1.021</x:v>
      </x:c>
      <x:c r="J39" t="n">
        <x:f>IFERROR(C39/I39-1,"")</x:f>
        <x:v>-0.1831537708129285</x:v>
      </x:c>
      <x:c r="K39" t="n">
        <x:f>MAX(ABS(VALUE('Sheet2'!D39)-VALUE('Sheet2'!D38)),ABS(VALUE('Sheet2'!E39)-VALUE('Sheet2'!E38)),ABS(VALUE('Sheet2'!F39)-VALUE('Sheet2'!F38)),ABS(VALUE('Sheet2'!G39)-VALUE('Sheet2'!G38)),ABS(VALUE('Sheet2'!H39)-VALUE('Sheet2'!H38)),ABS(VALUE('Sheet2'!I39)-VALUE('Sheet2'!I38)),ABS(VALUE('Sheet2'!J39)-VALUE('Sheet2'!J38)),ABS(VALUE('Sheet2'!K39)-VALUE('Sheet2'!K38)),ABS(VALUE('Sheet2'!L39)-VALUE('Sheet2'!L38)),ABS(VALUE('Sheet2'!M39)-VALUE('Sheet2'!M38)),ABS(VALUE('Sheet2'!N39)-VALUE('Sheet2'!N38)),ABS(VALUE('Sheet2'!O39)-VALUE('Sheet2'!O38)),ABS(VALUE('Sheet2'!P39)-VALUE('Sheet2'!P38)))</x:f>
        <x:v>0.0015000000000000013</x:v>
      </x:c>
      <x:c r="L39" t="n">
        <x:f>SUM(ABS(VALUE('Sheet2'!D39)-VALUE('Sheet2'!D38)),ABS(VALUE('Sheet2'!E39)-VALUE('Sheet2'!E38)),ABS(VALUE('Sheet2'!F39)-VALUE('Sheet2'!F38)),ABS(VALUE('Sheet2'!G39)-VALUE('Sheet2'!G38)),ABS(VALUE('Sheet2'!H39)-VALUE('Sheet2'!H38)),ABS(VALUE('Sheet2'!I39)-VALUE('Sheet2'!I38)),ABS(VALUE('Sheet2'!J39)-VALUE('Sheet2'!J38)),ABS(VALUE('Sheet2'!K39)-VALUE('Sheet2'!K38)),ABS(VALUE('Sheet2'!L39)-VALUE('Sheet2'!L38)),ABS(VALUE('Sheet2'!M39)-VALUE('Sheet2'!M38)),ABS(VALUE('Sheet2'!N39)-VALUE('Sheet2'!N38)),ABS(VALUE('Sheet2'!O39)-VALUE('Sheet2'!O38)),ABS(VALUE('Sheet2'!P39)-VALUE('Sheet2'!P38)))/2</x:f>
        <x:v>0.0027000000000000045</x:v>
      </x:c>
      <x:c r="M39" t="n">
        <x:f>SUMSQ('Sheet2'!D39:P39)</x:f>
        <x:v>0.23118275999999996</x:v>
      </x:c>
      <x:c r="N39" t="n">
        <x:f>VALUE('Sheet2'!D39)</x:f>
        <x:v>0.1292</x:v>
      </x:c>
    </x:row>
    <x:row r="40">
      <x:c r="A40" t="str">
        <x:f>'Sheet2'!A40</x:f>
        <x:v>2024-01-19</x:v>
      </x:c>
      <x:c r="B40" t="n">
        <x:f>VALUE('Sheet2'!B40)</x:f>
        <x:v>0.9332</x:v>
      </x:c>
      <x:c r="C40" t="n">
        <x:f>VALUE('Sheet2'!C40)</x:f>
        <x:v>0.8304</x:v>
      </x:c>
      <x:c r="D40" t="n">
        <x:f>IFERROR(B40/B39-1,"")</x:f>
        <x:v>-0.027105921601334515</x:v>
      </x:c>
      <x:c r="E40" t="n">
        <x:f>IFERROR(C40/C39-1,"")</x:f>
        <x:v>-0.004316546762589857</x:v>
      </x:c>
      <x:c r="F40" t="n">
        <x:f>IFERROR(D40-E40,"")</x:f>
        <x:v>-0.022789374838744658</x:v>
      </x:c>
      <x:c r="G40" t="n">
        <x:f>MAX($B$2:B40)</x:f>
        <x:v>1.0115</x:v>
      </x:c>
      <x:c r="H40" t="n">
        <x:f>IFERROR(B40/G40-1,"")</x:f>
        <x:v>-0.07740978744438953</x:v>
      </x:c>
      <x:c r="I40" t="n">
        <x:f>MAX($C$2:C40)</x:f>
        <x:v>1.021</x:v>
      </x:c>
      <x:c r="J40" t="n">
        <x:f>IFERROR(C40/I40-1,"")</x:f>
        <x:v>-0.18667972575905967</x:v>
      </x:c>
      <x:c r="K40" t="n">
        <x:f>MAX(ABS(VALUE('Sheet2'!D40)-VALUE('Sheet2'!D39)),ABS(VALUE('Sheet2'!E40)-VALUE('Sheet2'!E39)),ABS(VALUE('Sheet2'!F40)-VALUE('Sheet2'!F39)),ABS(VALUE('Sheet2'!G40)-VALUE('Sheet2'!G39)),ABS(VALUE('Sheet2'!H40)-VALUE('Sheet2'!H39)),ABS(VALUE('Sheet2'!I40)-VALUE('Sheet2'!I39)),ABS(VALUE('Sheet2'!J40)-VALUE('Sheet2'!J39)),ABS(VALUE('Sheet2'!K40)-VALUE('Sheet2'!K39)),ABS(VALUE('Sheet2'!L40)-VALUE('Sheet2'!L39)),ABS(VALUE('Sheet2'!M40)-VALUE('Sheet2'!M39)),ABS(VALUE('Sheet2'!N40)-VALUE('Sheet2'!N39)),ABS(VALUE('Sheet2'!O40)-VALUE('Sheet2'!O39)),ABS(VALUE('Sheet2'!P40)-VALUE('Sheet2'!P39)))</x:f>
        <x:v>0.006899999999999962</x:v>
      </x:c>
      <x:c r="L40" t="n">
        <x:f>SUM(ABS(VALUE('Sheet2'!D40)-VALUE('Sheet2'!D39)),ABS(VALUE('Sheet2'!E40)-VALUE('Sheet2'!E39)),ABS(VALUE('Sheet2'!F40)-VALUE('Sheet2'!F39)),ABS(VALUE('Sheet2'!G40)-VALUE('Sheet2'!G39)),ABS(VALUE('Sheet2'!H40)-VALUE('Sheet2'!H39)),ABS(VALUE('Sheet2'!I40)-VALUE('Sheet2'!I39)),ABS(VALUE('Sheet2'!J40)-VALUE('Sheet2'!J39)),ABS(VALUE('Sheet2'!K40)-VALUE('Sheet2'!K39)),ABS(VALUE('Sheet2'!L40)-VALUE('Sheet2'!L39)),ABS(VALUE('Sheet2'!M40)-VALUE('Sheet2'!M39)),ABS(VALUE('Sheet2'!N40)-VALUE('Sheet2'!N39)),ABS(VALUE('Sheet2'!O40)-VALUE('Sheet2'!O39)),ABS(VALUE('Sheet2'!P40)-VALUE('Sheet2'!P39)))/2</x:f>
        <x:v>0.009249999999999977</x:v>
      </x:c>
      <x:c r="M40" t="n">
        <x:f>SUMSQ('Sheet2'!D40:P40)</x:f>
        <x:v>0.22723335</x:v>
      </x:c>
      <x:c r="N40" t="n">
        <x:f>VALUE('Sheet2'!D40)</x:f>
        <x:v>0.1336</x:v>
      </x:c>
    </x:row>
    <x:row r="41">
      <x:c r="A41" t="str">
        <x:f>'Sheet2'!A41</x:f>
        <x:v>2024-01-26</x:v>
      </x:c>
      <x:c r="B41" t="n">
        <x:f>VALUE('Sheet2'!B41)</x:f>
        <x:v>0.93</x:v>
      </x:c>
      <x:c r="C41" t="n">
        <x:f>VALUE('Sheet2'!C41)</x:f>
        <x:v>0.8466</x:v>
      </x:c>
      <x:c r="D41" t="n">
        <x:f>IFERROR(B41/B40-1,"")</x:f>
        <x:v>-0.0034290612944706256</x:v>
      </x:c>
      <x:c r="E41" t="n">
        <x:f>IFERROR(C41/C40-1,"")</x:f>
        <x:v>0.019508670520231197</x:v>
      </x:c>
      <x:c r="F41" t="n">
        <x:f>IFERROR(D41-E41,"")</x:f>
        <x:v>-0.022937731814701823</x:v>
      </x:c>
      <x:c r="G41" t="n">
        <x:f>MAX($B$2:B41)</x:f>
        <x:v>1.0115</x:v>
      </x:c>
      <x:c r="H41" t="n">
        <x:f>IFERROR(B41/G41-1,"")</x:f>
        <x:v>-0.08057340583292139</x:v>
      </x:c>
      <x:c r="I41" t="n">
        <x:f>MAX($C$2:C41)</x:f>
        <x:v>1.021</x:v>
      </x:c>
      <x:c r="J41" t="n">
        <x:f>IFERROR(C41/I41-1,"")</x:f>
        <x:v>-0.170812928501469</x:v>
      </x:c>
      <x:c r="K41" t="n">
        <x:f>MAX(ABS(VALUE('Sheet2'!D41)-VALUE('Sheet2'!D40)),ABS(VALUE('Sheet2'!E41)-VALUE('Sheet2'!E40)),ABS(VALUE('Sheet2'!F41)-VALUE('Sheet2'!F40)),ABS(VALUE('Sheet2'!G41)-VALUE('Sheet2'!G40)),ABS(VALUE('Sheet2'!H41)-VALUE('Sheet2'!H40)),ABS(VALUE('Sheet2'!I41)-VALUE('Sheet2'!I40)),ABS(VALUE('Sheet2'!J41)-VALUE('Sheet2'!J40)),ABS(VALUE('Sheet2'!K41)-VALUE('Sheet2'!K40)),ABS(VALUE('Sheet2'!L41)-VALUE('Sheet2'!L40)),ABS(VALUE('Sheet2'!M41)-VALUE('Sheet2'!M40)),ABS(VALUE('Sheet2'!N41)-VALUE('Sheet2'!N40)),ABS(VALUE('Sheet2'!O41)-VALUE('Sheet2'!O40)),ABS(VALUE('Sheet2'!P41)-VALUE('Sheet2'!P40)))</x:f>
        <x:v>0.1074</x:v>
      </x:c>
      <x:c r="L41" t="n">
        <x:f>SUM(ABS(VALUE('Sheet2'!D41)-VALUE('Sheet2'!D40)),ABS(VALUE('Sheet2'!E41)-VALUE('Sheet2'!E40)),ABS(VALUE('Sheet2'!F41)-VALUE('Sheet2'!F40)),ABS(VALUE('Sheet2'!G41)-VALUE('Sheet2'!G40)),ABS(VALUE('Sheet2'!H41)-VALUE('Sheet2'!H40)),ABS(VALUE('Sheet2'!I41)-VALUE('Sheet2'!I40)),ABS(VALUE('Sheet2'!J41)-VALUE('Sheet2'!J40)),ABS(VALUE('Sheet2'!K41)-VALUE('Sheet2'!K40)),ABS(VALUE('Sheet2'!L41)-VALUE('Sheet2'!L40)),ABS(VALUE('Sheet2'!M41)-VALUE('Sheet2'!M40)),ABS(VALUE('Sheet2'!N41)-VALUE('Sheet2'!N40)),ABS(VALUE('Sheet2'!O41)-VALUE('Sheet2'!O40)),ABS(VALUE('Sheet2'!P41)-VALUE('Sheet2'!P40)))/2</x:f>
        <x:v>0.10794999999999999</x:v>
      </x:c>
      <x:c r="M41" t="n">
        <x:f>SUMSQ('Sheet2'!D41:P41)</x:f>
        <x:v>0.22183993999999996</x:v>
      </x:c>
      <x:c r="N41" t="n">
        <x:f>VALUE('Sheet2'!D41)</x:f>
        <x:v>0.0262</x:v>
      </x:c>
    </x:row>
    <x:row r="42">
      <x:c r="A42" t="str">
        <x:f>'Sheet2'!A42</x:f>
        <x:v>2024-01-31</x:v>
      </x:c>
      <x:c r="B42" t="n">
        <x:f>VALUE('Sheet2'!B42)</x:f>
        <x:v>0.8745</x:v>
      </x:c>
      <x:c r="C42" t="n">
        <x:f>VALUE('Sheet2'!C42)</x:f>
        <x:v>0.8165</x:v>
      </x:c>
      <x:c r="D42" t="n">
        <x:f>IFERROR(B42/B41-1,"")</x:f>
        <x:v>-0.05967741935483872</x:v>
      </x:c>
      <x:c r="E42" t="n">
        <x:f>IFERROR(C42/C41-1,"")</x:f>
        <x:v>-0.03555398062839599</x:v>
      </x:c>
      <x:c r="F42" t="n">
        <x:f>IFERROR(D42-E42,"")</x:f>
        <x:v>-0.024123438726442736</x:v>
      </x:c>
      <x:c r="G42" t="n">
        <x:f>MAX($B$2:B42)</x:f>
        <x:v>1.0115</x:v>
      </x:c>
      <x:c r="H42" t="n">
        <x:f>IFERROR(B42/G42-1,"")</x:f>
        <x:v>-0.1354424122590212</x:v>
      </x:c>
      <x:c r="I42" t="n">
        <x:f>MAX($C$2:C42)</x:f>
        <x:v>1.021</x:v>
      </x:c>
      <x:c r="J42" t="n">
        <x:f>IFERROR(C42/I42-1,"")</x:f>
        <x:v>-0.20029382957884423</x:v>
      </x:c>
      <x:c r="K42" t="n">
        <x:f>MAX(ABS(VALUE('Sheet2'!D42)-VALUE('Sheet2'!D41)),ABS(VALUE('Sheet2'!E42)-VALUE('Sheet2'!E41)),ABS(VALUE('Sheet2'!F42)-VALUE('Sheet2'!F41)),ABS(VALUE('Sheet2'!G42)-VALUE('Sheet2'!G41)),ABS(VALUE('Sheet2'!H42)-VALUE('Sheet2'!H41)),ABS(VALUE('Sheet2'!I42)-VALUE('Sheet2'!I41)),ABS(VALUE('Sheet2'!J42)-VALUE('Sheet2'!J41)),ABS(VALUE('Sheet2'!K42)-VALUE('Sheet2'!K41)),ABS(VALUE('Sheet2'!L42)-VALUE('Sheet2'!L41)),ABS(VALUE('Sheet2'!M42)-VALUE('Sheet2'!M41)),ABS(VALUE('Sheet2'!N42)-VALUE('Sheet2'!N41)),ABS(VALUE('Sheet2'!O42)-VALUE('Sheet2'!O41)),ABS(VALUE('Sheet2'!P42)-VALUE('Sheet2'!P41)))</x:f>
        <x:v>0.015100000000000002</x:v>
      </x:c>
      <x:c r="L42" t="n">
        <x:f>SUM(ABS(VALUE('Sheet2'!D42)-VALUE('Sheet2'!D41)),ABS(VALUE('Sheet2'!E42)-VALUE('Sheet2'!E41)),ABS(VALUE('Sheet2'!F42)-VALUE('Sheet2'!F41)),ABS(VALUE('Sheet2'!G42)-VALUE('Sheet2'!G41)),ABS(VALUE('Sheet2'!H42)-VALUE('Sheet2'!H41)),ABS(VALUE('Sheet2'!I42)-VALUE('Sheet2'!I41)),ABS(VALUE('Sheet2'!J42)-VALUE('Sheet2'!J41)),ABS(VALUE('Sheet2'!K42)-VALUE('Sheet2'!K41)),ABS(VALUE('Sheet2'!L42)-VALUE('Sheet2'!L41)),ABS(VALUE('Sheet2'!M42)-VALUE('Sheet2'!M41)),ABS(VALUE('Sheet2'!N42)-VALUE('Sheet2'!N41)),ABS(VALUE('Sheet2'!O42)-VALUE('Sheet2'!O41)),ABS(VALUE('Sheet2'!P42)-VALUE('Sheet2'!P41)))/2</x:f>
        <x:v>0.0196</x:v>
      </x:c>
      <x:c r="M42" t="n">
        <x:f>SUMSQ('Sheet2'!D42:P42)</x:f>
        <x:v>0.21290812000000003</x:v>
      </x:c>
      <x:c r="N42" t="n">
        <x:f>VALUE('Sheet2'!D42)</x:f>
        <x:v>0.0277</x:v>
      </x:c>
    </x:row>
    <x:row r="43">
      <x:c r="A43" t="str">
        <x:f>'Sheet2'!A43</x:f>
        <x:v>2024-02-02</x:v>
      </x:c>
      <x:c r="B43" t="n">
        <x:f>VALUE('Sheet2'!B43)</x:f>
        <x:v>0.8536</x:v>
      </x:c>
      <x:c r="C43" t="n">
        <x:f>VALUE('Sheet2'!C43)</x:f>
        <x:v>0.8075</x:v>
      </x:c>
      <x:c r="D43" t="n">
        <x:f>IFERROR(B43/B42-1,"")</x:f>
        <x:v>-0.023899371069182385</x:v>
      </x:c>
      <x:c r="E43" t="n">
        <x:f>IFERROR(C43/C42-1,"")</x:f>
        <x:v>-0.01102265768524191</x:v>
      </x:c>
      <x:c r="F43" t="n">
        <x:f>IFERROR(D43-E43,"")</x:f>
        <x:v>-0.012876713383940475</x:v>
      </x:c>
      <x:c r="G43" t="n">
        <x:f>MAX($B$2:B43)</x:f>
        <x:v>1.0115</x:v>
      </x:c>
      <x:c r="H43" t="n">
        <x:f>IFERROR(B43/G43-1,"")</x:f>
        <x:v>-0.1561047948591201</x:v>
      </x:c>
      <x:c r="I43" t="n">
        <x:f>MAX($C$2:C43)</x:f>
        <x:v>1.021</x:v>
      </x:c>
      <x:c r="J43" t="n">
        <x:f>IFERROR(C43/I43-1,"")</x:f>
        <x:v>-0.20910871694417232</x:v>
      </x:c>
      <x:c r="K43" t="n">
        <x:f>MAX(ABS(VALUE('Sheet2'!D43)-VALUE('Sheet2'!D42)),ABS(VALUE('Sheet2'!E43)-VALUE('Sheet2'!E42)),ABS(VALUE('Sheet2'!F43)-VALUE('Sheet2'!F42)),ABS(VALUE('Sheet2'!G43)-VALUE('Sheet2'!G42)),ABS(VALUE('Sheet2'!H43)-VALUE('Sheet2'!H42)),ABS(VALUE('Sheet2'!I43)-VALUE('Sheet2'!I42)),ABS(VALUE('Sheet2'!J43)-VALUE('Sheet2'!J42)),ABS(VALUE('Sheet2'!K43)-VALUE('Sheet2'!K42)),ABS(VALUE('Sheet2'!L43)-VALUE('Sheet2'!L42)),ABS(VALUE('Sheet2'!M43)-VALUE('Sheet2'!M42)),ABS(VALUE('Sheet2'!N43)-VALUE('Sheet2'!N42)),ABS(VALUE('Sheet2'!O43)-VALUE('Sheet2'!O42)),ABS(VALUE('Sheet2'!P43)-VALUE('Sheet2'!P42)))</x:f>
        <x:v>0.10309999999999997</x:v>
      </x:c>
      <x:c r="L43" t="n">
        <x:f>SUM(ABS(VALUE('Sheet2'!D43)-VALUE('Sheet2'!D42)),ABS(VALUE('Sheet2'!E43)-VALUE('Sheet2'!E42)),ABS(VALUE('Sheet2'!F43)-VALUE('Sheet2'!F42)),ABS(VALUE('Sheet2'!G43)-VALUE('Sheet2'!G42)),ABS(VALUE('Sheet2'!H43)-VALUE('Sheet2'!H42)),ABS(VALUE('Sheet2'!I43)-VALUE('Sheet2'!I42)),ABS(VALUE('Sheet2'!J43)-VALUE('Sheet2'!J42)),ABS(VALUE('Sheet2'!K43)-VALUE('Sheet2'!K42)),ABS(VALUE('Sheet2'!L43)-VALUE('Sheet2'!L42)),ABS(VALUE('Sheet2'!M43)-VALUE('Sheet2'!M42)),ABS(VALUE('Sheet2'!N43)-VALUE('Sheet2'!N42)),ABS(VALUE('Sheet2'!O43)-VALUE('Sheet2'!O42)),ABS(VALUE('Sheet2'!P43)-VALUE('Sheet2'!P42)))/2</x:f>
        <x:v>0.10704999999999999</x:v>
      </x:c>
      <x:c r="M43" t="n">
        <x:f>SUMSQ('Sheet2'!D43:P43)</x:f>
        <x:v>0.15913492999999998</x:v>
      </x:c>
      <x:c r="N43" t="n">
        <x:f>VALUE('Sheet2'!D43)</x:f>
        <x:v>0.1259</x:v>
      </x:c>
    </x:row>
    <x:row r="44">
      <x:c r="A44" t="str">
        <x:f>'Sheet2'!A44</x:f>
        <x:v>2024-02-08</x:v>
      </x:c>
      <x:c r="B44" t="n">
        <x:f>VALUE('Sheet2'!B44)</x:f>
        <x:v>0.8524</x:v>
      </x:c>
      <x:c r="C44" t="n">
        <x:f>VALUE('Sheet2'!C44)</x:f>
        <x:v>0.8545</x:v>
      </x:c>
      <x:c r="D44" t="n">
        <x:f>IFERROR(B44/B43-1,"")</x:f>
        <x:v>-0.001405810684161124</x:v>
      </x:c>
      <x:c r="E44" t="n">
        <x:f>IFERROR(C44/C43-1,"")</x:f>
        <x:v>0.05820433436532513</x:v>
      </x:c>
      <x:c r="F44" t="n">
        <x:f>IFERROR(D44-E44,"")</x:f>
        <x:v>-0.05961014504948625</x:v>
      </x:c>
      <x:c r="G44" t="n">
        <x:f>MAX($B$2:B44)</x:f>
        <x:v>1.0115</x:v>
      </x:c>
      <x:c r="H44" t="n">
        <x:f>IFERROR(B44/G44-1,"")</x:f>
        <x:v>-0.15729115175481956</x:v>
      </x:c>
      <x:c r="I44" t="n">
        <x:f>MAX($C$2:C44)</x:f>
        <x:v>1.021</x:v>
      </x:c>
      <x:c r="J44" t="n">
        <x:f>IFERROR(C44/I44-1,"")</x:f>
        <x:v>-0.16307541625856992</x:v>
      </x:c>
      <x:c r="K44" t="n">
        <x:f>MAX(ABS(VALUE('Sheet2'!D44)-VALUE('Sheet2'!D43)),ABS(VALUE('Sheet2'!E44)-VALUE('Sheet2'!E43)),ABS(VALUE('Sheet2'!F44)-VALUE('Sheet2'!F43)),ABS(VALUE('Sheet2'!G44)-VALUE('Sheet2'!G43)),ABS(VALUE('Sheet2'!H44)-VALUE('Sheet2'!H43)),ABS(VALUE('Sheet2'!I44)-VALUE('Sheet2'!I43)),ABS(VALUE('Sheet2'!J44)-VALUE('Sheet2'!J43)),ABS(VALUE('Sheet2'!K44)-VALUE('Sheet2'!K43)),ABS(VALUE('Sheet2'!L44)-VALUE('Sheet2'!L43)),ABS(VALUE('Sheet2'!M44)-VALUE('Sheet2'!M43)),ABS(VALUE('Sheet2'!N44)-VALUE('Sheet2'!N43)),ABS(VALUE('Sheet2'!O44)-VALUE('Sheet2'!O43)),ABS(VALUE('Sheet2'!P44)-VALUE('Sheet2'!P43)))</x:f>
        <x:v>0.29419999999999996</x:v>
      </x:c>
      <x:c r="L44" t="n">
        <x:f>SUM(ABS(VALUE('Sheet2'!D44)-VALUE('Sheet2'!D43)),ABS(VALUE('Sheet2'!E44)-VALUE('Sheet2'!E43)),ABS(VALUE('Sheet2'!F44)-VALUE('Sheet2'!F43)),ABS(VALUE('Sheet2'!G44)-VALUE('Sheet2'!G43)),ABS(VALUE('Sheet2'!H44)-VALUE('Sheet2'!H43)),ABS(VALUE('Sheet2'!I44)-VALUE('Sheet2'!I43)),ABS(VALUE('Sheet2'!J44)-VALUE('Sheet2'!J43)),ABS(VALUE('Sheet2'!K44)-VALUE('Sheet2'!K43)),ABS(VALUE('Sheet2'!L44)-VALUE('Sheet2'!L43)),ABS(VALUE('Sheet2'!M44)-VALUE('Sheet2'!M43)),ABS(VALUE('Sheet2'!N44)-VALUE('Sheet2'!N43)),ABS(VALUE('Sheet2'!O44)-VALUE('Sheet2'!O43)),ABS(VALUE('Sheet2'!P44)-VALUE('Sheet2'!P43)))/2</x:f>
        <x:v>0.41339999999999993</x:v>
      </x:c>
      <x:c r="M44" t="n">
        <x:f>SUMSQ('Sheet2'!D44:P44)</x:f>
        <x:v>0.25570143</x:v>
      </x:c>
      <x:c r="N44" t="n">
        <x:f>VALUE('Sheet2'!D44)</x:f>
        <x:v>0.4201</x:v>
      </x:c>
    </x:row>
    <x:row r="45">
      <x:c r="A45" t="str">
        <x:f>'Sheet2'!A45</x:f>
        <x:v>2024-02-23</x:v>
      </x:c>
      <x:c r="B45" t="n">
        <x:f>VALUE('Sheet2'!B45)</x:f>
        <x:v>0.8737</x:v>
      </x:c>
      <x:c r="C45" t="n">
        <x:f>VALUE('Sheet2'!C45)</x:f>
        <x:v>0.8862</x:v>
      </x:c>
      <x:c r="D45" t="n">
        <x:f>IFERROR(B45/B44-1,"")</x:f>
        <x:v>0.024988268418582704</x:v>
      </x:c>
      <x:c r="E45" t="n">
        <x:f>IFERROR(C45/C44-1,"")</x:f>
        <x:v>0.03709771796372152</x:v>
      </x:c>
      <x:c r="F45" t="n">
        <x:f>IFERROR(D45-E45,"")</x:f>
        <x:v>-0.012109449545138817</x:v>
      </x:c>
      <x:c r="G45" t="n">
        <x:f>MAX($B$2:B45)</x:f>
        <x:v>1.0115</x:v>
      </x:c>
      <x:c r="H45" t="n">
        <x:f>IFERROR(B45/G45-1,"")</x:f>
        <x:v>-0.13623331685615425</x:v>
      </x:c>
      <x:c r="I45" t="n">
        <x:f>MAX($C$2:C45)</x:f>
        <x:v>1.021</x:v>
      </x:c>
      <x:c r="J45" t="n">
        <x:f>IFERROR(C45/I45-1,"")</x:f>
        <x:v>-0.13202742409402535</x:v>
      </x:c>
      <x:c r="K45" t="n">
        <x:f>MAX(ABS(VALUE('Sheet2'!D45)-VALUE('Sheet2'!D44)),ABS(VALUE('Sheet2'!E45)-VALUE('Sheet2'!E44)),ABS(VALUE('Sheet2'!F45)-VALUE('Sheet2'!F44)),ABS(VALUE('Sheet2'!G45)-VALUE('Sheet2'!G44)),ABS(VALUE('Sheet2'!H45)-VALUE('Sheet2'!H44)),ABS(VALUE('Sheet2'!I45)-VALUE('Sheet2'!I44)),ABS(VALUE('Sheet2'!J45)-VALUE('Sheet2'!J44)),ABS(VALUE('Sheet2'!K45)-VALUE('Sheet2'!K44)),ABS(VALUE('Sheet2'!L45)-VALUE('Sheet2'!L44)),ABS(VALUE('Sheet2'!M45)-VALUE('Sheet2'!M44)),ABS(VALUE('Sheet2'!N45)-VALUE('Sheet2'!N44)),ABS(VALUE('Sheet2'!O45)-VALUE('Sheet2'!O44)),ABS(VALUE('Sheet2'!P45)-VALUE('Sheet2'!P44)))</x:f>
        <x:v>0.12529999999999997</x:v>
      </x:c>
      <x:c r="L45" t="n">
        <x:f>SUM(ABS(VALUE('Sheet2'!D45)-VALUE('Sheet2'!D44)),ABS(VALUE('Sheet2'!E45)-VALUE('Sheet2'!E44)),ABS(VALUE('Sheet2'!F45)-VALUE('Sheet2'!F44)),ABS(VALUE('Sheet2'!G45)-VALUE('Sheet2'!G44)),ABS(VALUE('Sheet2'!H45)-VALUE('Sheet2'!H44)),ABS(VALUE('Sheet2'!I45)-VALUE('Sheet2'!I44)),ABS(VALUE('Sheet2'!J45)-VALUE('Sheet2'!J44)),ABS(VALUE('Sheet2'!K45)-VALUE('Sheet2'!K44)),ABS(VALUE('Sheet2'!L45)-VALUE('Sheet2'!L44)),ABS(VALUE('Sheet2'!M45)-VALUE('Sheet2'!M44)),ABS(VALUE('Sheet2'!N45)-VALUE('Sheet2'!N44)),ABS(VALUE('Sheet2'!O45)-VALUE('Sheet2'!O44)),ABS(VALUE('Sheet2'!P45)-VALUE('Sheet2'!P44)))/2</x:f>
        <x:v>0.13174999999999995</x:v>
      </x:c>
      <x:c r="M45" t="n">
        <x:f>SUMSQ('Sheet2'!D45:P45)</x:f>
        <x:v>0.18396282000000003</x:v>
      </x:c>
      <x:c r="N45" t="n">
        <x:f>VALUE('Sheet2'!D45)</x:f>
        <x:v>0.2948</x:v>
      </x:c>
    </x:row>
    <x:row r="46">
      <x:c r="A46" t="str">
        <x:f>'Sheet2'!A46</x:f>
        <x:v>2024-02-29</x:v>
      </x:c>
      <x:c r="B46" t="n">
        <x:f>VALUE('Sheet2'!B46)</x:f>
        <x:v>0.8786</x:v>
      </x:c>
      <x:c r="C46" t="n">
        <x:f>VALUE('Sheet2'!C46)</x:f>
        <x:v>0.8929</x:v>
      </x:c>
      <x:c r="D46" t="n">
        <x:f>IFERROR(B46/B45-1,"")</x:f>
        <x:v>0.005608332379535286</x:v>
      </x:c>
      <x:c r="E46" t="n">
        <x:f>IFERROR(C46/C45-1,"")</x:f>
        <x:v>0.007560370119611859</x:v>
      </x:c>
      <x:c r="F46" t="n">
        <x:f>IFERROR(D46-E46,"")</x:f>
        <x:v>-0.0019520377400765732</x:v>
      </x:c>
      <x:c r="G46" t="n">
        <x:f>MAX($B$2:B46)</x:f>
        <x:v>1.0115</x:v>
      </x:c>
      <x:c r="H46" t="n">
        <x:f>IFERROR(B46/G46-1,"")</x:f>
        <x:v>-0.13138902619871484</x:v>
      </x:c>
      <x:c r="I46" t="n">
        <x:f>MAX($C$2:C46)</x:f>
        <x:v>1.021</x:v>
      </x:c>
      <x:c r="J46" t="n">
        <x:f>IFERROR(C46/I46-1,"")</x:f>
        <x:v>-0.12546523016650335</x:v>
      </x:c>
      <x:c r="K46" t="n">
        <x:f>MAX(ABS(VALUE('Sheet2'!D46)-VALUE('Sheet2'!D45)),ABS(VALUE('Sheet2'!E46)-VALUE('Sheet2'!E45)),ABS(VALUE('Sheet2'!F46)-VALUE('Sheet2'!F45)),ABS(VALUE('Sheet2'!G46)-VALUE('Sheet2'!G45)),ABS(VALUE('Sheet2'!H46)-VALUE('Sheet2'!H45)),ABS(VALUE('Sheet2'!I46)-VALUE('Sheet2'!I45)),ABS(VALUE('Sheet2'!J46)-VALUE('Sheet2'!J45)),ABS(VALUE('Sheet2'!K46)-VALUE('Sheet2'!K45)),ABS(VALUE('Sheet2'!L46)-VALUE('Sheet2'!L45)),ABS(VALUE('Sheet2'!M46)-VALUE('Sheet2'!M45)),ABS(VALUE('Sheet2'!N46)-VALUE('Sheet2'!N45)),ABS(VALUE('Sheet2'!O46)-VALUE('Sheet2'!O45)),ABS(VALUE('Sheet2'!P46)-VALUE('Sheet2'!P45)))</x:f>
        <x:v>0.11900000000000002</x:v>
      </x:c>
      <x:c r="L46" t="n">
        <x:f>SUM(ABS(VALUE('Sheet2'!D46)-VALUE('Sheet2'!D45)),ABS(VALUE('Sheet2'!E46)-VALUE('Sheet2'!E45)),ABS(VALUE('Sheet2'!F46)-VALUE('Sheet2'!F45)),ABS(VALUE('Sheet2'!G46)-VALUE('Sheet2'!G45)),ABS(VALUE('Sheet2'!H46)-VALUE('Sheet2'!H45)),ABS(VALUE('Sheet2'!I46)-VALUE('Sheet2'!I45)),ABS(VALUE('Sheet2'!J46)-VALUE('Sheet2'!J45)),ABS(VALUE('Sheet2'!K46)-VALUE('Sheet2'!K45)),ABS(VALUE('Sheet2'!L46)-VALUE('Sheet2'!L45)),ABS(VALUE('Sheet2'!M46)-VALUE('Sheet2'!M45)),ABS(VALUE('Sheet2'!N46)-VALUE('Sheet2'!N45)),ABS(VALUE('Sheet2'!O46)-VALUE('Sheet2'!O45)),ABS(VALUE('Sheet2'!P46)-VALUE('Sheet2'!P45)))/2</x:f>
        <x:v>0.11905000000000002</x:v>
      </x:c>
      <x:c r="M46" t="n">
        <x:f>SUMSQ('Sheet2'!D46:P46)</x:f>
        <x:v>0.22850959</x:v>
      </x:c>
      <x:c r="N46" t="n">
        <x:f>VALUE('Sheet2'!D46)</x:f>
        <x:v>0.2762</x:v>
      </x:c>
    </x:row>
    <x:row r="47">
      <x:c r="A47" t="str">
        <x:f>'Sheet2'!A47</x:f>
        <x:v>2024-03-01</x:v>
      </x:c>
      <x:c r="B47" t="n">
        <x:f>VALUE('Sheet2'!B47)</x:f>
        <x:v>0.8821</x:v>
      </x:c>
      <x:c r="C47" t="n">
        <x:f>VALUE('Sheet2'!C47)</x:f>
        <x:v>0.8984</x:v>
      </x:c>
      <x:c r="D47" t="n">
        <x:f>IFERROR(B47/B46-1,"")</x:f>
        <x:v>0.003983610289096218</x:v>
      </x:c>
      <x:c r="E47" t="n">
        <x:f>IFERROR(C47/C46-1,"")</x:f>
        <x:v>0.0061597043341918845</x:v>
      </x:c>
      <x:c r="F47" t="n">
        <x:f>IFERROR(D47-E47,"")</x:f>
        <x:v>-0.0021760940450956667</x:v>
      </x:c>
      <x:c r="G47" t="n">
        <x:f>MAX($B$2:B47)</x:f>
        <x:v>1.0115</x:v>
      </x:c>
      <x:c r="H47" t="n">
        <x:f>IFERROR(B47/G47-1,"")</x:f>
        <x:v>-0.12792881858625804</x:v>
      </x:c>
      <x:c r="I47" t="n">
        <x:f>MAX($C$2:C47)</x:f>
        <x:v>1.021</x:v>
      </x:c>
      <x:c r="J47" t="n">
        <x:f>IFERROR(C47/I47-1,"")</x:f>
        <x:v>-0.12007835455435845</x:v>
      </x:c>
      <x:c r="K47" t="n">
        <x:f>MAX(ABS(VALUE('Sheet2'!D47)-VALUE('Sheet2'!D46)),ABS(VALUE('Sheet2'!E47)-VALUE('Sheet2'!E46)),ABS(VALUE('Sheet2'!F47)-VALUE('Sheet2'!F46)),ABS(VALUE('Sheet2'!G47)-VALUE('Sheet2'!G46)),ABS(VALUE('Sheet2'!H47)-VALUE('Sheet2'!H46)),ABS(VALUE('Sheet2'!I47)-VALUE('Sheet2'!I46)),ABS(VALUE('Sheet2'!J47)-VALUE('Sheet2'!J46)),ABS(VALUE('Sheet2'!K47)-VALUE('Sheet2'!K46)),ABS(VALUE('Sheet2'!L47)-VALUE('Sheet2'!L46)),ABS(VALUE('Sheet2'!M47)-VALUE('Sheet2'!M46)),ABS(VALUE('Sheet2'!N47)-VALUE('Sheet2'!N46)),ABS(VALUE('Sheet2'!O47)-VALUE('Sheet2'!O46)),ABS(VALUE('Sheet2'!P47)-VALUE('Sheet2'!P46)))</x:f>
        <x:v>0.0023999999999999577</x:v>
      </x:c>
      <x:c r="L47" t="n">
        <x:f>SUM(ABS(VALUE('Sheet2'!D47)-VALUE('Sheet2'!D46)),ABS(VALUE('Sheet2'!E47)-VALUE('Sheet2'!E46)),ABS(VALUE('Sheet2'!F47)-VALUE('Sheet2'!F46)),ABS(VALUE('Sheet2'!G47)-VALUE('Sheet2'!G46)),ABS(VALUE('Sheet2'!H47)-VALUE('Sheet2'!H46)),ABS(VALUE('Sheet2'!I47)-VALUE('Sheet2'!I46)),ABS(VALUE('Sheet2'!J47)-VALUE('Sheet2'!J46)),ABS(VALUE('Sheet2'!K47)-VALUE('Sheet2'!K46)),ABS(VALUE('Sheet2'!L47)-VALUE('Sheet2'!L46)),ABS(VALUE('Sheet2'!M47)-VALUE('Sheet2'!M46)),ABS(VALUE('Sheet2'!N47)-VALUE('Sheet2'!N46)),ABS(VALUE('Sheet2'!O47)-VALUE('Sheet2'!O46)),ABS(VALUE('Sheet2'!P47)-VALUE('Sheet2'!P46)))/2</x:f>
        <x:v>0.0023499999999999736</x:v>
      </x:c>
      <x:c r="M47" t="n">
        <x:f>SUMSQ('Sheet2'!D47:P47)</x:f>
        <x:v>0.22925652</x:v>
      </x:c>
      <x:c r="N47" t="n">
        <x:f>VALUE('Sheet2'!D47)</x:f>
        <x:v>0.2751</x:v>
      </x:c>
    </x:row>
    <x:row r="48">
      <x:c r="A48" t="str">
        <x:f>'Sheet2'!A48</x:f>
        <x:v>2024-03-08</x:v>
      </x:c>
      <x:c r="B48" t="n">
        <x:f>VALUE('Sheet2'!B48)</x:f>
        <x:v>0.8823</x:v>
      </x:c>
      <x:c r="C48" t="n">
        <x:f>VALUE('Sheet2'!C48)</x:f>
        <x:v>0.9002</x:v>
      </x:c>
      <x:c r="D48" t="n">
        <x:f>IFERROR(B48/B47-1,"")</x:f>
        <x:v>0.00022673166307662918</x:v>
      </x:c>
      <x:c r="E48" t="n">
        <x:f>IFERROR(C48/C47-1,"")</x:f>
        <x:v>0.002003561887800487</x:v>
      </x:c>
      <x:c r="F48" t="n">
        <x:f>IFERROR(D48-E48,"")</x:f>
        <x:v>-0.0017768302247238577</x:v>
      </x:c>
      <x:c r="G48" t="n">
        <x:f>MAX($B$2:B48)</x:f>
        <x:v>1.0115</x:v>
      </x:c>
      <x:c r="H48" t="n">
        <x:f>IFERROR(B48/G48-1,"")</x:f>
        <x:v>-0.1277310924369749</x:v>
      </x:c>
      <x:c r="I48" t="n">
        <x:f>MAX($C$2:C48)</x:f>
        <x:v>1.021</x:v>
      </x:c>
      <x:c r="J48" t="n">
        <x:f>IFERROR(C48/I48-1,"")</x:f>
        <x:v>-0.1183153770812928</x:v>
      </x:c>
      <x:c r="K48" t="n">
        <x:f>MAX(ABS(VALUE('Sheet2'!D48)-VALUE('Sheet2'!D47)),ABS(VALUE('Sheet2'!E48)-VALUE('Sheet2'!E47)),ABS(VALUE('Sheet2'!F48)-VALUE('Sheet2'!F47)),ABS(VALUE('Sheet2'!G48)-VALUE('Sheet2'!G47)),ABS(VALUE('Sheet2'!H48)-VALUE('Sheet2'!H47)),ABS(VALUE('Sheet2'!I48)-VALUE('Sheet2'!I47)),ABS(VALUE('Sheet2'!J48)-VALUE('Sheet2'!J47)),ABS(VALUE('Sheet2'!K48)-VALUE('Sheet2'!K47)),ABS(VALUE('Sheet2'!L48)-VALUE('Sheet2'!L47)),ABS(VALUE('Sheet2'!M48)-VALUE('Sheet2'!M47)),ABS(VALUE('Sheet2'!N48)-VALUE('Sheet2'!N47)),ABS(VALUE('Sheet2'!O48)-VALUE('Sheet2'!O47)),ABS(VALUE('Sheet2'!P48)-VALUE('Sheet2'!P47)))</x:f>
        <x:v>0.004400000000000015</x:v>
      </x:c>
      <x:c r="L48" t="n">
        <x:f>SUM(ABS(VALUE('Sheet2'!D48)-VALUE('Sheet2'!D47)),ABS(VALUE('Sheet2'!E48)-VALUE('Sheet2'!E47)),ABS(VALUE('Sheet2'!F48)-VALUE('Sheet2'!F47)),ABS(VALUE('Sheet2'!G48)-VALUE('Sheet2'!G47)),ABS(VALUE('Sheet2'!H48)-VALUE('Sheet2'!H47)),ABS(VALUE('Sheet2'!I48)-VALUE('Sheet2'!I47)),ABS(VALUE('Sheet2'!J48)-VALUE('Sheet2'!J47)),ABS(VALUE('Sheet2'!K48)-VALUE('Sheet2'!K47)),ABS(VALUE('Sheet2'!L48)-VALUE('Sheet2'!L47)),ABS(VALUE('Sheet2'!M48)-VALUE('Sheet2'!M47)),ABS(VALUE('Sheet2'!N48)-VALUE('Sheet2'!N47)),ABS(VALUE('Sheet2'!O48)-VALUE('Sheet2'!O47)),ABS(VALUE('Sheet2'!P48)-VALUE('Sheet2'!P47)))/2</x:f>
        <x:v>0.004750000000000008</x:v>
      </x:c>
      <x:c r="M48" t="n">
        <x:f>SUMSQ('Sheet2'!D48:P48)</x:f>
        <x:v>0.22786331</x:v>
      </x:c>
      <x:c r="N48" t="n">
        <x:f>VALUE('Sheet2'!D48)</x:f>
        <x:v>0.2707</x:v>
      </x:c>
    </x:row>
    <x:row r="49">
      <x:c r="A49" t="str">
        <x:f>'Sheet2'!A49</x:f>
        <x:v>2024-03-15</x:v>
      </x:c>
      <x:c r="B49" t="n">
        <x:f>VALUE('Sheet2'!B49)</x:f>
        <x:v>0.8933</x:v>
      </x:c>
      <x:c r="C49" t="n">
        <x:f>VALUE('Sheet2'!C49)</x:f>
        <x:v>0.9066</x:v>
      </x:c>
      <x:c r="D49" t="n">
        <x:f>IFERROR(B49/B48-1,"")</x:f>
        <x:v>0.01246741471154933</x:v>
      </x:c>
      <x:c r="E49" t="n">
        <x:f>IFERROR(C49/C48-1,"")</x:f>
        <x:v>0.007109531215285347</x:v>
      </x:c>
      <x:c r="F49" t="n">
        <x:f>IFERROR(D49-E49,"")</x:f>
        <x:v>0.005357883496263982</x:v>
      </x:c>
      <x:c r="G49" t="n">
        <x:f>MAX($B$2:B49)</x:f>
        <x:v>1.0115</x:v>
      </x:c>
      <x:c r="H49" t="n">
        <x:f>IFERROR(B49/G49-1,"")</x:f>
        <x:v>-0.1168561542263965</x:v>
      </x:c>
      <x:c r="I49" t="n">
        <x:f>MAX($C$2:C49)</x:f>
        <x:v>1.021</x:v>
      </x:c>
      <x:c r="J49" t="n">
        <x:f>IFERROR(C49/I49-1,"")</x:f>
        <x:v>-0.11204701273261508</x:v>
      </x:c>
      <x:c r="K49" t="n">
        <x:f>MAX(ABS(VALUE('Sheet2'!D49)-VALUE('Sheet2'!D48)),ABS(VALUE('Sheet2'!E49)-VALUE('Sheet2'!E48)),ABS(VALUE('Sheet2'!F49)-VALUE('Sheet2'!F48)),ABS(VALUE('Sheet2'!G49)-VALUE('Sheet2'!G48)),ABS(VALUE('Sheet2'!H49)-VALUE('Sheet2'!H48)),ABS(VALUE('Sheet2'!I49)-VALUE('Sheet2'!I48)),ABS(VALUE('Sheet2'!J49)-VALUE('Sheet2'!J48)),ABS(VALUE('Sheet2'!K49)-VALUE('Sheet2'!K48)),ABS(VALUE('Sheet2'!L49)-VALUE('Sheet2'!L48)),ABS(VALUE('Sheet2'!M49)-VALUE('Sheet2'!M48)),ABS(VALUE('Sheet2'!N49)-VALUE('Sheet2'!N48)),ABS(VALUE('Sheet2'!O49)-VALUE('Sheet2'!O48)),ABS(VALUE('Sheet2'!P49)-VALUE('Sheet2'!P48)))</x:f>
        <x:v>0.11560000000000001</x:v>
      </x:c>
      <x:c r="L49" t="n">
        <x:f>SUM(ABS(VALUE('Sheet2'!D49)-VALUE('Sheet2'!D48)),ABS(VALUE('Sheet2'!E49)-VALUE('Sheet2'!E48)),ABS(VALUE('Sheet2'!F49)-VALUE('Sheet2'!F48)),ABS(VALUE('Sheet2'!G49)-VALUE('Sheet2'!G48)),ABS(VALUE('Sheet2'!H49)-VALUE('Sheet2'!H48)),ABS(VALUE('Sheet2'!I49)-VALUE('Sheet2'!I48)),ABS(VALUE('Sheet2'!J49)-VALUE('Sheet2'!J48)),ABS(VALUE('Sheet2'!K49)-VALUE('Sheet2'!K48)),ABS(VALUE('Sheet2'!L49)-VALUE('Sheet2'!L48)),ABS(VALUE('Sheet2'!M49)-VALUE('Sheet2'!M48)),ABS(VALUE('Sheet2'!N49)-VALUE('Sheet2'!N48)),ABS(VALUE('Sheet2'!O49)-VALUE('Sheet2'!O48)),ABS(VALUE('Sheet2'!P49)-VALUE('Sheet2'!P48)))/2</x:f>
        <x:v>0.1189</x:v>
      </x:c>
      <x:c r="M49" t="n">
        <x:f>SUMSQ('Sheet2'!D49:P49)</x:f>
        <x:v>0.19504761</x:v>
      </x:c>
      <x:c r="N49" t="n">
        <x:f>VALUE('Sheet2'!D49)</x:f>
        <x:v>0.1551</x:v>
      </x:c>
    </x:row>
    <x:row r="50">
      <x:c r="A50" t="str">
        <x:f>'Sheet2'!A50</x:f>
        <x:v>2024-03-22</x:v>
      </x:c>
      <x:c r="B50" t="n">
        <x:f>VALUE('Sheet2'!B50)</x:f>
        <x:v>0.8982</x:v>
      </x:c>
      <x:c r="C50" t="n">
        <x:f>VALUE('Sheet2'!C50)</x:f>
        <x:v>0.9003</x:v>
      </x:c>
      <x:c r="D50" t="n">
        <x:f>IFERROR(B50/B49-1,"")</x:f>
        <x:v>0.0054852793014665835</x:v>
      </x:c>
      <x:c r="E50" t="n">
        <x:f>IFERROR(C50/C49-1,"")</x:f>
        <x:v>-0.0069490403706155</x:v>
      </x:c>
      <x:c r="F50" t="n">
        <x:f>IFERROR(D50-E50,"")</x:f>
        <x:v>0.012434319672082084</x:v>
      </x:c>
      <x:c r="G50" t="n">
        <x:f>MAX($B$2:B50)</x:f>
        <x:v>1.0115</x:v>
      </x:c>
      <x:c r="H50" t="n">
        <x:f>IFERROR(B50/G50-1,"")</x:f>
        <x:v>-0.11201186356895709</x:v>
      </x:c>
      <x:c r="I50" t="n">
        <x:f>MAX($C$2:C50)</x:f>
        <x:v>1.021</x:v>
      </x:c>
      <x:c r="J50" t="n">
        <x:f>IFERROR(C50/I50-1,"")</x:f>
        <x:v>-0.11821743388834471</x:v>
      </x:c>
      <x:c r="K50" t="n">
        <x:f>MAX(ABS(VALUE('Sheet2'!D50)-VALUE('Sheet2'!D49)),ABS(VALUE('Sheet2'!E50)-VALUE('Sheet2'!E49)),ABS(VALUE('Sheet2'!F50)-VALUE('Sheet2'!F49)),ABS(VALUE('Sheet2'!G50)-VALUE('Sheet2'!G49)),ABS(VALUE('Sheet2'!H50)-VALUE('Sheet2'!H49)),ABS(VALUE('Sheet2'!I50)-VALUE('Sheet2'!I49)),ABS(VALUE('Sheet2'!J50)-VALUE('Sheet2'!J49)),ABS(VALUE('Sheet2'!K50)-VALUE('Sheet2'!K49)),ABS(VALUE('Sheet2'!L50)-VALUE('Sheet2'!L49)),ABS(VALUE('Sheet2'!M50)-VALUE('Sheet2'!M49)),ABS(VALUE('Sheet2'!N50)-VALUE('Sheet2'!N49)),ABS(VALUE('Sheet2'!O50)-VALUE('Sheet2'!O49)),ABS(VALUE('Sheet2'!P50)-VALUE('Sheet2'!P49)))</x:f>
        <x:v>0.11229999999999998</x:v>
      </x:c>
      <x:c r="L50" t="n">
        <x:f>SUM(ABS(VALUE('Sheet2'!D50)-VALUE('Sheet2'!D49)),ABS(VALUE('Sheet2'!E50)-VALUE('Sheet2'!E49)),ABS(VALUE('Sheet2'!F50)-VALUE('Sheet2'!F49)),ABS(VALUE('Sheet2'!G50)-VALUE('Sheet2'!G49)),ABS(VALUE('Sheet2'!H50)-VALUE('Sheet2'!H49)),ABS(VALUE('Sheet2'!I50)-VALUE('Sheet2'!I49)),ABS(VALUE('Sheet2'!J50)-VALUE('Sheet2'!J49)),ABS(VALUE('Sheet2'!K50)-VALUE('Sheet2'!K49)),ABS(VALUE('Sheet2'!L50)-VALUE('Sheet2'!L49)),ABS(VALUE('Sheet2'!M50)-VALUE('Sheet2'!M49)),ABS(VALUE('Sheet2'!N50)-VALUE('Sheet2'!N49)),ABS(VALUE('Sheet2'!O50)-VALUE('Sheet2'!O49)),ABS(VALUE('Sheet2'!P50)-VALUE('Sheet2'!P49)))/2</x:f>
        <x:v>0.11335</x:v>
      </x:c>
      <x:c r="M50" t="n">
        <x:f>SUMSQ('Sheet2'!D50:P50)</x:f>
        <x:v>0.21092180000000005</x:v>
      </x:c>
      <x:c r="N50" t="n">
        <x:f>VALUE('Sheet2'!D50)</x:f>
        <x:v>0.0428</x:v>
      </x:c>
    </x:row>
    <x:row r="51">
      <x:c r="A51" t="str">
        <x:f>'Sheet2'!A51</x:f>
        <x:v>2024-03-29</x:v>
      </x:c>
      <x:c r="B51" t="n">
        <x:f>VALUE('Sheet2'!B51)</x:f>
        <x:v>0.8934</x:v>
      </x:c>
      <x:c r="C51" t="n">
        <x:f>VALUE('Sheet2'!C51)</x:f>
        <x:v>0.8983</x:v>
      </x:c>
      <x:c r="D51" t="n">
        <x:f>IFERROR(B51/B50-1,"")</x:f>
        <x:v>-0.005344021376085584</x:v>
      </x:c>
      <x:c r="E51" t="n">
        <x:f>IFERROR(C51/C50-1,"")</x:f>
        <x:v>-0.002221481728312824</x:v>
      </x:c>
      <x:c r="F51" t="n">
        <x:f>IFERROR(D51-E51,"")</x:f>
        <x:v>-0.0031225396477727596</x:v>
      </x:c>
      <x:c r="G51" t="n">
        <x:f>MAX($B$2:B51)</x:f>
        <x:v>1.0115</x:v>
      </x:c>
      <x:c r="H51" t="n">
        <x:f>IFERROR(B51/G51-1,"")</x:f>
        <x:v>-0.11675729115175493</x:v>
      </x:c>
      <x:c r="I51" t="n">
        <x:f>MAX($C$2:C51)</x:f>
        <x:v>1.021</x:v>
      </x:c>
      <x:c r="J51" t="n">
        <x:f>IFERROR(C51/I51-1,"")</x:f>
        <x:v>-0.12017629774730654</x:v>
      </x:c>
      <x:c r="K51" t="n">
        <x:f>MAX(ABS(VALUE('Sheet2'!D51)-VALUE('Sheet2'!D50)),ABS(VALUE('Sheet2'!E51)-VALUE('Sheet2'!E50)),ABS(VALUE('Sheet2'!F51)-VALUE('Sheet2'!F50)),ABS(VALUE('Sheet2'!G51)-VALUE('Sheet2'!G50)),ABS(VALUE('Sheet2'!H51)-VALUE('Sheet2'!H50)),ABS(VALUE('Sheet2'!I51)-VALUE('Sheet2'!I50)),ABS(VALUE('Sheet2'!J51)-VALUE('Sheet2'!J50)),ABS(VALUE('Sheet2'!K51)-VALUE('Sheet2'!K50)),ABS(VALUE('Sheet2'!L51)-VALUE('Sheet2'!L50)),ABS(VALUE('Sheet2'!M51)-VALUE('Sheet2'!M50)),ABS(VALUE('Sheet2'!N51)-VALUE('Sheet2'!N50)),ABS(VALUE('Sheet2'!O51)-VALUE('Sheet2'!O50)),ABS(VALUE('Sheet2'!P51)-VALUE('Sheet2'!P50)))</x:f>
        <x:v>0.0038000000000000256</x:v>
      </x:c>
      <x:c r="L51" t="n">
        <x:f>SUM(ABS(VALUE('Sheet2'!D51)-VALUE('Sheet2'!D50)),ABS(VALUE('Sheet2'!E51)-VALUE('Sheet2'!E50)),ABS(VALUE('Sheet2'!F51)-VALUE('Sheet2'!F50)),ABS(VALUE('Sheet2'!G51)-VALUE('Sheet2'!G50)),ABS(VALUE('Sheet2'!H51)-VALUE('Sheet2'!H50)),ABS(VALUE('Sheet2'!I51)-VALUE('Sheet2'!I50)),ABS(VALUE('Sheet2'!J51)-VALUE('Sheet2'!J50)),ABS(VALUE('Sheet2'!K51)-VALUE('Sheet2'!K50)),ABS(VALUE('Sheet2'!L51)-VALUE('Sheet2'!L50)),ABS(VALUE('Sheet2'!M51)-VALUE('Sheet2'!M50)),ABS(VALUE('Sheet2'!N51)-VALUE('Sheet2'!N50)),ABS(VALUE('Sheet2'!O51)-VALUE('Sheet2'!O50)),ABS(VALUE('Sheet2'!P51)-VALUE('Sheet2'!P50)))/2</x:f>
        <x:v>0.003849999999999996</x:v>
      </x:c>
      <x:c r="M51" t="n">
        <x:f>SUMSQ('Sheet2'!D51:P51)</x:f>
        <x:v>0.20919761000000003</x:v>
      </x:c>
      <x:c r="N51" t="n">
        <x:f>VALUE('Sheet2'!D51)</x:f>
        <x:v>0.0427</x:v>
      </x:c>
    </x:row>
    <x:row r="52">
      <x:c r="A52" t="str">
        <x:f>'Sheet2'!A52</x:f>
        <x:v>2024-04-03</x:v>
      </x:c>
      <x:c r="B52" t="n">
        <x:f>VALUE('Sheet2'!B52)</x:f>
        <x:v>0.898</x:v>
      </x:c>
      <x:c r="C52" t="n">
        <x:f>VALUE('Sheet2'!C52)</x:f>
        <x:v>0.906</x:v>
      </x:c>
      <x:c r="D52" t="n">
        <x:f>IFERROR(B52/B51-1,"")</x:f>
        <x:v>0.005148869487351826</x:v>
      </x:c>
      <x:c r="E52" t="n">
        <x:f>IFERROR(C52/C51-1,"")</x:f>
        <x:v>0.008571746632528132</x:v>
      </x:c>
      <x:c r="F52" t="n">
        <x:f>IFERROR(D52-E52,"")</x:f>
        <x:v>-0.0034228771451763063</x:v>
      </x:c>
      <x:c r="G52" t="n">
        <x:f>MAX($B$2:B52)</x:f>
        <x:v>1.0115</x:v>
      </x:c>
      <x:c r="H52" t="n">
        <x:f>IFERROR(B52/G52-1,"")</x:f>
        <x:v>-0.11220958971824024</x:v>
      </x:c>
      <x:c r="I52" t="n">
        <x:f>MAX($C$2:C52)</x:f>
        <x:v>1.021</x:v>
      </x:c>
      <x:c r="J52" t="n">
        <x:f>IFERROR(C52/I52-1,"")</x:f>
        <x:v>-0.11263467189030352</x:v>
      </x:c>
      <x:c r="K52" t="n">
        <x:f>MAX(ABS(VALUE('Sheet2'!D52)-VALUE('Sheet2'!D51)),ABS(VALUE('Sheet2'!E52)-VALUE('Sheet2'!E51)),ABS(VALUE('Sheet2'!F52)-VALUE('Sheet2'!F51)),ABS(VALUE('Sheet2'!G52)-VALUE('Sheet2'!G51)),ABS(VALUE('Sheet2'!H52)-VALUE('Sheet2'!H51)),ABS(VALUE('Sheet2'!I52)-VALUE('Sheet2'!I51)),ABS(VALUE('Sheet2'!J52)-VALUE('Sheet2'!J51)),ABS(VALUE('Sheet2'!K52)-VALUE('Sheet2'!K51)),ABS(VALUE('Sheet2'!L52)-VALUE('Sheet2'!L51)),ABS(VALUE('Sheet2'!M52)-VALUE('Sheet2'!M51)),ABS(VALUE('Sheet2'!N52)-VALUE('Sheet2'!N51)),ABS(VALUE('Sheet2'!O52)-VALUE('Sheet2'!O51)),ABS(VALUE('Sheet2'!P52)-VALUE('Sheet2'!P51)))</x:f>
        <x:v>0.1128</x:v>
      </x:c>
      <x:c r="L52" t="n">
        <x:f>SUM(ABS(VALUE('Sheet2'!D52)-VALUE('Sheet2'!D51)),ABS(VALUE('Sheet2'!E52)-VALUE('Sheet2'!E51)),ABS(VALUE('Sheet2'!F52)-VALUE('Sheet2'!F51)),ABS(VALUE('Sheet2'!G52)-VALUE('Sheet2'!G51)),ABS(VALUE('Sheet2'!H52)-VALUE('Sheet2'!H51)),ABS(VALUE('Sheet2'!I52)-VALUE('Sheet2'!I51)),ABS(VALUE('Sheet2'!J52)-VALUE('Sheet2'!J51)),ABS(VALUE('Sheet2'!K52)-VALUE('Sheet2'!K51)),ABS(VALUE('Sheet2'!L52)-VALUE('Sheet2'!L51)),ABS(VALUE('Sheet2'!M52)-VALUE('Sheet2'!M51)),ABS(VALUE('Sheet2'!N52)-VALUE('Sheet2'!N51)),ABS(VALUE('Sheet2'!O52)-VALUE('Sheet2'!O51)),ABS(VALUE('Sheet2'!P52)-VALUE('Sheet2'!P51)))/2</x:f>
        <x:v>0.11495</x:v>
      </x:c>
      <x:c r="M52" t="n">
        <x:f>SUMSQ('Sheet2'!D52:P52)</x:f>
        <x:v>0.21989022000000003</x:v>
      </x:c>
      <x:c r="N52" t="n">
        <x:f>VALUE('Sheet2'!D52)</x:f>
        <x:v>0.1545</x:v>
      </x:c>
    </x:row>
    <x:row r="53">
      <x:c r="A53" t="str">
        <x:f>'Sheet2'!A53</x:f>
        <x:v>2024-04-12</x:v>
      </x:c>
      <x:c r="B53" t="n">
        <x:f>VALUE('Sheet2'!B53)</x:f>
        <x:v>0.8902</x:v>
      </x:c>
      <x:c r="C53" t="n">
        <x:f>VALUE('Sheet2'!C53)</x:f>
        <x:v>0.8827</x:v>
      </x:c>
      <x:c r="D53" t="n">
        <x:f>IFERROR(B53/B52-1,"")</x:f>
        <x:v>-0.008685968819599155</x:v>
      </x:c>
      <x:c r="E53" t="n">
        <x:f>IFERROR(C53/C52-1,"")</x:f>
        <x:v>-0.025717439293598265</x:v>
      </x:c>
      <x:c r="F53" t="n">
        <x:f>IFERROR(D53-E53,"")</x:f>
        <x:v>0.01703147047399911</x:v>
      </x:c>
      <x:c r="G53" t="n">
        <x:f>MAX($B$2:B53)</x:f>
        <x:v>1.0115</x:v>
      </x:c>
      <x:c r="H53" t="n">
        <x:f>IFERROR(B53/G53-1,"")</x:f>
        <x:v>-0.11992090954028678</x:v>
      </x:c>
      <x:c r="I53" t="n">
        <x:f>MAX($C$2:C53)</x:f>
        <x:v>1.021</x:v>
      </x:c>
      <x:c r="J53" t="n">
        <x:f>IFERROR(C53/I53-1,"")</x:f>
        <x:v>-0.13545543584720854</x:v>
      </x:c>
      <x:c r="K53" t="n">
        <x:f>MAX(ABS(VALUE('Sheet2'!D53)-VALUE('Sheet2'!D52)),ABS(VALUE('Sheet2'!E53)-VALUE('Sheet2'!E52)),ABS(VALUE('Sheet2'!F53)-VALUE('Sheet2'!F52)),ABS(VALUE('Sheet2'!G53)-VALUE('Sheet2'!G52)),ABS(VALUE('Sheet2'!H53)-VALUE('Sheet2'!H52)),ABS(VALUE('Sheet2'!I53)-VALUE('Sheet2'!I52)),ABS(VALUE('Sheet2'!J53)-VALUE('Sheet2'!J52)),ABS(VALUE('Sheet2'!K53)-VALUE('Sheet2'!K52)),ABS(VALUE('Sheet2'!L53)-VALUE('Sheet2'!L52)),ABS(VALUE('Sheet2'!M53)-VALUE('Sheet2'!M52)),ABS(VALUE('Sheet2'!N53)-VALUE('Sheet2'!N52)),ABS(VALUE('Sheet2'!O53)-VALUE('Sheet2'!O52)),ABS(VALUE('Sheet2'!P53)-VALUE('Sheet2'!P52)))</x:f>
        <x:v>0.004699999999999982</x:v>
      </x:c>
      <x:c r="L53" t="n">
        <x:f>SUM(ABS(VALUE('Sheet2'!D53)-VALUE('Sheet2'!D52)),ABS(VALUE('Sheet2'!E53)-VALUE('Sheet2'!E52)),ABS(VALUE('Sheet2'!F53)-VALUE('Sheet2'!F52)),ABS(VALUE('Sheet2'!G53)-VALUE('Sheet2'!G52)),ABS(VALUE('Sheet2'!H53)-VALUE('Sheet2'!H52)),ABS(VALUE('Sheet2'!I53)-VALUE('Sheet2'!I52)),ABS(VALUE('Sheet2'!J53)-VALUE('Sheet2'!J52)),ABS(VALUE('Sheet2'!K53)-VALUE('Sheet2'!K52)),ABS(VALUE('Sheet2'!L53)-VALUE('Sheet2'!L52)),ABS(VALUE('Sheet2'!M53)-VALUE('Sheet2'!M52)),ABS(VALUE('Sheet2'!N53)-VALUE('Sheet2'!N52)),ABS(VALUE('Sheet2'!O53)-VALUE('Sheet2'!O52)),ABS(VALUE('Sheet2'!P53)-VALUE('Sheet2'!P52)))/2</x:f>
        <x:v>0.004699999999999992</x:v>
      </x:c>
      <x:c r="M53" t="n">
        <x:f>SUMSQ('Sheet2'!D53:P53)</x:f>
        <x:v>0.21789189999999997</x:v>
      </x:c>
      <x:c r="N53" t="n">
        <x:f>VALUE('Sheet2'!D53)</x:f>
        <x:v>0.1555</x:v>
      </x:c>
    </x:row>
    <x:row r="54">
      <x:c r="A54" t="str">
        <x:f>'Sheet2'!A54</x:f>
        <x:v>2024-04-19</x:v>
      </x:c>
      <x:c r="B54" t="n">
        <x:f>VALUE('Sheet2'!B54)</x:f>
        <x:v>0.8867</x:v>
      </x:c>
      <x:c r="C54" t="n">
        <x:f>VALUE('Sheet2'!C54)</x:f>
        <x:v>0.8994</x:v>
      </x:c>
      <x:c r="D54" t="n">
        <x:f>IFERROR(B54/B53-1,"")</x:f>
        <x:v>-0.003931700741406363</x:v>
      </x:c>
      <x:c r="E54" t="n">
        <x:f>IFERROR(C54/C53-1,"")</x:f>
        <x:v>0.018919225104792048</x:v>
      </x:c>
      <x:c r="F54" t="n">
        <x:f>IFERROR(D54-E54,"")</x:f>
        <x:v>-0.02285092584619841</x:v>
      </x:c>
      <x:c r="G54" t="n">
        <x:f>MAX($B$2:B54)</x:f>
        <x:v>1.0115</x:v>
      </x:c>
      <x:c r="H54" t="n">
        <x:f>IFERROR(B54/G54-1,"")</x:f>
        <x:v>-0.12338111715274347</x:v>
      </x:c>
      <x:c r="I54" t="n">
        <x:f>MAX($C$2:C54)</x:f>
        <x:v>1.021</x:v>
      </x:c>
      <x:c r="J54" t="n">
        <x:f>IFERROR(C54/I54-1,"")</x:f>
        <x:v>-0.11909892262487753</x:v>
      </x:c>
      <x:c r="K54" t="n">
        <x:f>MAX(ABS(VALUE('Sheet2'!D54)-VALUE('Sheet2'!D53)),ABS(VALUE('Sheet2'!E54)-VALUE('Sheet2'!E53)),ABS(VALUE('Sheet2'!F54)-VALUE('Sheet2'!F53)),ABS(VALUE('Sheet2'!G54)-VALUE('Sheet2'!G53)),ABS(VALUE('Sheet2'!H54)-VALUE('Sheet2'!H53)),ABS(VALUE('Sheet2'!I54)-VALUE('Sheet2'!I53)),ABS(VALUE('Sheet2'!J54)-VALUE('Sheet2'!J53)),ABS(VALUE('Sheet2'!K54)-VALUE('Sheet2'!K53)),ABS(VALUE('Sheet2'!L54)-VALUE('Sheet2'!L53)),ABS(VALUE('Sheet2'!M54)-VALUE('Sheet2'!M53)),ABS(VALUE('Sheet2'!N54)-VALUE('Sheet2'!N53)),ABS(VALUE('Sheet2'!O54)-VALUE('Sheet2'!O53)),ABS(VALUE('Sheet2'!P54)-VALUE('Sheet2'!P53)))</x:f>
        <x:v>0.004299999999999998</x:v>
      </x:c>
      <x:c r="L54" t="n">
        <x:f>SUM(ABS(VALUE('Sheet2'!D54)-VALUE('Sheet2'!D53)),ABS(VALUE('Sheet2'!E54)-VALUE('Sheet2'!E53)),ABS(VALUE('Sheet2'!F54)-VALUE('Sheet2'!F53)),ABS(VALUE('Sheet2'!G54)-VALUE('Sheet2'!G53)),ABS(VALUE('Sheet2'!H54)-VALUE('Sheet2'!H53)),ABS(VALUE('Sheet2'!I54)-VALUE('Sheet2'!I53)),ABS(VALUE('Sheet2'!J54)-VALUE('Sheet2'!J53)),ABS(VALUE('Sheet2'!K54)-VALUE('Sheet2'!K53)),ABS(VALUE('Sheet2'!L54)-VALUE('Sheet2'!L53)),ABS(VALUE('Sheet2'!M54)-VALUE('Sheet2'!M53)),ABS(VALUE('Sheet2'!N54)-VALUE('Sheet2'!N53)),ABS(VALUE('Sheet2'!O54)-VALUE('Sheet2'!O53)),ABS(VALUE('Sheet2'!P54)-VALUE('Sheet2'!P53)))/2</x:f>
        <x:v>0.004649999999999998</x:v>
      </x:c>
      <x:c r="M54" t="n">
        <x:f>SUMSQ('Sheet2'!D54:P54)</x:f>
        <x:v>0.21682493</x:v>
      </x:c>
      <x:c r="N54" t="n">
        <x:f>VALUE('Sheet2'!D54)</x:f>
        <x:v>0.1558</x:v>
      </x:c>
    </x:row>
    <x:row r="55">
      <x:c r="A55" t="str">
        <x:f>'Sheet2'!A55</x:f>
        <x:v>2024-04-26</x:v>
      </x:c>
      <x:c r="B55" t="n">
        <x:f>VALUE('Sheet2'!B55)</x:f>
        <x:v>0.8944</x:v>
      </x:c>
      <x:c r="C55" t="n">
        <x:f>VALUE('Sheet2'!C55)</x:f>
        <x:v>0.9102</x:v>
      </x:c>
      <x:c r="D55" t="n">
        <x:f>IFERROR(B55/B54-1,"")</x:f>
        <x:v>0.008683884064508707</x:v>
      </x:c>
      <x:c r="E55" t="n">
        <x:f>IFERROR(C55/C54-1,"")</x:f>
        <x:v>0.012008005336891392</x:v>
      </x:c>
      <x:c r="F55" t="n">
        <x:f>IFERROR(D55-E55,"")</x:f>
        <x:v>-0.003324121272382685</x:v>
      </x:c>
      <x:c r="G55" t="n">
        <x:f>MAX($B$2:B55)</x:f>
        <x:v>1.0115</x:v>
      </x:c>
      <x:c r="H55" t="n">
        <x:f>IFERROR(B55/G55-1,"")</x:f>
        <x:v>-0.11576866040533873</x:v>
      </x:c>
      <x:c r="I55" t="n">
        <x:f>MAX($C$2:C55)</x:f>
        <x:v>1.021</x:v>
      </x:c>
      <x:c r="J55" t="n">
        <x:f>IFERROR(C55/I55-1,"")</x:f>
        <x:v>-0.1085210577864838</x:v>
      </x:c>
      <x:c r="K55" t="n">
        <x:f>MAX(ABS(VALUE('Sheet2'!D55)-VALUE('Sheet2'!D54)),ABS(VALUE('Sheet2'!E55)-VALUE('Sheet2'!E54)),ABS(VALUE('Sheet2'!F55)-VALUE('Sheet2'!F54)),ABS(VALUE('Sheet2'!G55)-VALUE('Sheet2'!G54)),ABS(VALUE('Sheet2'!H55)-VALUE('Sheet2'!H54)),ABS(VALUE('Sheet2'!I55)-VALUE('Sheet2'!I54)),ABS(VALUE('Sheet2'!J55)-VALUE('Sheet2'!J54)),ABS(VALUE('Sheet2'!K55)-VALUE('Sheet2'!K54)),ABS(VALUE('Sheet2'!L55)-VALUE('Sheet2'!L54)),ABS(VALUE('Sheet2'!M55)-VALUE('Sheet2'!M54)),ABS(VALUE('Sheet2'!N55)-VALUE('Sheet2'!N54)),ABS(VALUE('Sheet2'!O55)-VALUE('Sheet2'!O54)),ABS(VALUE('Sheet2'!P55)-VALUE('Sheet2'!P54)))</x:f>
        <x:v>0.0050000000000000044</x:v>
      </x:c>
      <x:c r="L55" t="n">
        <x:f>SUM(ABS(VALUE('Sheet2'!D55)-VALUE('Sheet2'!D54)),ABS(VALUE('Sheet2'!E55)-VALUE('Sheet2'!E54)),ABS(VALUE('Sheet2'!F55)-VALUE('Sheet2'!F54)),ABS(VALUE('Sheet2'!G55)-VALUE('Sheet2'!G54)),ABS(VALUE('Sheet2'!H55)-VALUE('Sheet2'!H54)),ABS(VALUE('Sheet2'!I55)-VALUE('Sheet2'!I54)),ABS(VALUE('Sheet2'!J55)-VALUE('Sheet2'!J54)),ABS(VALUE('Sheet2'!K55)-VALUE('Sheet2'!K54)),ABS(VALUE('Sheet2'!L55)-VALUE('Sheet2'!L54)),ABS(VALUE('Sheet2'!M55)-VALUE('Sheet2'!M54)),ABS(VALUE('Sheet2'!N55)-VALUE('Sheet2'!N54)),ABS(VALUE('Sheet2'!O55)-VALUE('Sheet2'!O54)),ABS(VALUE('Sheet2'!P55)-VALUE('Sheet2'!P54)))/2</x:f>
        <x:v>0.005399999999999992</x:v>
      </x:c>
      <x:c r="M55" t="n">
        <x:f>SUMSQ('Sheet2'!D55:P55)</x:f>
        <x:v>0.21853641000000004</x:v>
      </x:c>
      <x:c r="N55" t="n">
        <x:f>VALUE('Sheet2'!D55)</x:f>
        <x:v>0.1542</x:v>
      </x:c>
    </x:row>
    <x:row r="56">
      <x:c r="A56" t="str">
        <x:f>'Sheet2'!A56</x:f>
        <x:v>2024-04-30</x:v>
      </x:c>
      <x:c r="B56" t="n">
        <x:f>VALUE('Sheet2'!B56)</x:f>
        <x:v>0.899</x:v>
      </x:c>
      <x:c r="C56" t="n">
        <x:f>VALUE('Sheet2'!C56)</x:f>
        <x:v>0.9153</x:v>
      </x:c>
      <x:c r="D56" t="n">
        <x:f>IFERROR(B56/B55-1,"")</x:f>
        <x:v>0.005143112701252228</x:v>
      </x:c>
      <x:c r="E56" t="n">
        <x:f>IFERROR(C56/C55-1,"")</x:f>
        <x:v>0.005603164139749595</x:v>
      </x:c>
      <x:c r="F56" t="n">
        <x:f>IFERROR(D56-E56,"")</x:f>
        <x:v>-0.0004600514384973664</x:v>
      </x:c>
      <x:c r="G56" t="n">
        <x:f>MAX($B$2:B56)</x:f>
        <x:v>1.0115</x:v>
      </x:c>
      <x:c r="H56" t="n">
        <x:f>IFERROR(B56/G56-1,"")</x:f>
        <x:v>-0.11122095897182405</x:v>
      </x:c>
      <x:c r="I56" t="n">
        <x:f>MAX($C$2:C56)</x:f>
        <x:v>1.021</x:v>
      </x:c>
      <x:c r="J56" t="n">
        <x:f>IFERROR(C56/I56-1,"")</x:f>
        <x:v>-0.10352595494613115</x:v>
      </x:c>
      <x:c r="K56" t="n">
        <x:f>MAX(ABS(VALUE('Sheet2'!D56)-VALUE('Sheet2'!D55)),ABS(VALUE('Sheet2'!E56)-VALUE('Sheet2'!E55)),ABS(VALUE('Sheet2'!F56)-VALUE('Sheet2'!F55)),ABS(VALUE('Sheet2'!G56)-VALUE('Sheet2'!G55)),ABS(VALUE('Sheet2'!H56)-VALUE('Sheet2'!H55)),ABS(VALUE('Sheet2'!I56)-VALUE('Sheet2'!I55)),ABS(VALUE('Sheet2'!J56)-VALUE('Sheet2'!J55)),ABS(VALUE('Sheet2'!K56)-VALUE('Sheet2'!K55)),ABS(VALUE('Sheet2'!L56)-VALUE('Sheet2'!L55)),ABS(VALUE('Sheet2'!M56)-VALUE('Sheet2'!M55)),ABS(VALUE('Sheet2'!N56)-VALUE('Sheet2'!N55)),ABS(VALUE('Sheet2'!O56)-VALUE('Sheet2'!O55)),ABS(VALUE('Sheet2'!P56)-VALUE('Sheet2'!P55)))</x:f>
        <x:v>0.002899999999999958</x:v>
      </x:c>
      <x:c r="L56" t="n">
        <x:f>SUM(ABS(VALUE('Sheet2'!D56)-VALUE('Sheet2'!D55)),ABS(VALUE('Sheet2'!E56)-VALUE('Sheet2'!E55)),ABS(VALUE('Sheet2'!F56)-VALUE('Sheet2'!F55)),ABS(VALUE('Sheet2'!G56)-VALUE('Sheet2'!G55)),ABS(VALUE('Sheet2'!H56)-VALUE('Sheet2'!H55)),ABS(VALUE('Sheet2'!I56)-VALUE('Sheet2'!I55)),ABS(VALUE('Sheet2'!J56)-VALUE('Sheet2'!J55)),ABS(VALUE('Sheet2'!K56)-VALUE('Sheet2'!K55)),ABS(VALUE('Sheet2'!L56)-VALUE('Sheet2'!L55)),ABS(VALUE('Sheet2'!M56)-VALUE('Sheet2'!M55)),ABS(VALUE('Sheet2'!N56)-VALUE('Sheet2'!N55)),ABS(VALUE('Sheet2'!O56)-VALUE('Sheet2'!O55)),ABS(VALUE('Sheet2'!P56)-VALUE('Sheet2'!P55)))/2</x:f>
        <x:v>0.00304999999999998</x:v>
      </x:c>
      <x:c r="M56" t="n">
        <x:f>SUMSQ('Sheet2'!D56:P56)</x:f>
        <x:v>0.21981647999999995</x:v>
      </x:c>
      <x:c r="N56" t="n">
        <x:f>VALUE('Sheet2'!D56)</x:f>
        <x:v>0.1533</x:v>
      </x:c>
    </x:row>
    <x:row r="57">
      <x:c r="A57" t="str">
        <x:f>'Sheet2'!A57</x:f>
        <x:v>2024-05-10</x:v>
      </x:c>
      <x:c r="B57" t="n">
        <x:f>VALUE('Sheet2'!B57)</x:f>
        <x:v>0.9066</x:v>
      </x:c>
      <x:c r="C57" t="n">
        <x:f>VALUE('Sheet2'!C57)</x:f>
        <x:v>0.9311</x:v>
      </x:c>
      <x:c r="D57" t="n">
        <x:f>IFERROR(B57/B56-1,"")</x:f>
        <x:v>0.008453837597330205</x:v>
      </x:c>
      <x:c r="E57" t="n">
        <x:f>IFERROR(C57/C56-1,"")</x:f>
        <x:v>0.017262099857970004</x:v>
      </x:c>
      <x:c r="F57" t="n">
        <x:f>IFERROR(D57-E57,"")</x:f>
        <x:v>-0.008808262260639799</x:v>
      </x:c>
      <x:c r="G57" t="n">
        <x:f>MAX($B$2:B57)</x:f>
        <x:v>1.0115</x:v>
      </x:c>
      <x:c r="H57" t="n">
        <x:f>IFERROR(B57/G57-1,"")</x:f>
        <x:v>-0.10370736529906088</x:v>
      </x:c>
      <x:c r="I57" t="n">
        <x:f>MAX($C$2:C57)</x:f>
        <x:v>1.021</x:v>
      </x:c>
      <x:c r="J57" t="n">
        <x:f>IFERROR(C57/I57-1,"")</x:f>
        <x:v>-0.08805093046033285</x:v>
      </x:c>
      <x:c r="K57" t="n">
        <x:f>MAX(ABS(VALUE('Sheet2'!D57)-VALUE('Sheet2'!D56)),ABS(VALUE('Sheet2'!E57)-VALUE('Sheet2'!E56)),ABS(VALUE('Sheet2'!F57)-VALUE('Sheet2'!F56)),ABS(VALUE('Sheet2'!G57)-VALUE('Sheet2'!G56)),ABS(VALUE('Sheet2'!H57)-VALUE('Sheet2'!H56)),ABS(VALUE('Sheet2'!I57)-VALUE('Sheet2'!I56)),ABS(VALUE('Sheet2'!J57)-VALUE('Sheet2'!J56)),ABS(VALUE('Sheet2'!K57)-VALUE('Sheet2'!K56)),ABS(VALUE('Sheet2'!L57)-VALUE('Sheet2'!L56)),ABS(VALUE('Sheet2'!M57)-VALUE('Sheet2'!M56)),ABS(VALUE('Sheet2'!N57)-VALUE('Sheet2'!N56)),ABS(VALUE('Sheet2'!O57)-VALUE('Sheet2'!O56)),ABS(VALUE('Sheet2'!P57)-VALUE('Sheet2'!P56)))</x:f>
        <x:v>0.11209999999999999</x:v>
      </x:c>
      <x:c r="L57" t="n">
        <x:f>SUM(ABS(VALUE('Sheet2'!D57)-VALUE('Sheet2'!D56)),ABS(VALUE('Sheet2'!E57)-VALUE('Sheet2'!E56)),ABS(VALUE('Sheet2'!F57)-VALUE('Sheet2'!F56)),ABS(VALUE('Sheet2'!G57)-VALUE('Sheet2'!G56)),ABS(VALUE('Sheet2'!H57)-VALUE('Sheet2'!H56)),ABS(VALUE('Sheet2'!I57)-VALUE('Sheet2'!I56)),ABS(VALUE('Sheet2'!J57)-VALUE('Sheet2'!J56)),ABS(VALUE('Sheet2'!K57)-VALUE('Sheet2'!K56)),ABS(VALUE('Sheet2'!L57)-VALUE('Sheet2'!L56)),ABS(VALUE('Sheet2'!M57)-VALUE('Sheet2'!M56)),ABS(VALUE('Sheet2'!N57)-VALUE('Sheet2'!N56)),ABS(VALUE('Sheet2'!O57)-VALUE('Sheet2'!O56)),ABS(VALUE('Sheet2'!P57)-VALUE('Sheet2'!P56)))/2</x:f>
        <x:v>0.114</x:v>
      </x:c>
      <x:c r="M57" t="n">
        <x:f>SUMSQ('Sheet2'!D57:P57)</x:f>
        <x:v>0.21188394</x:v>
      </x:c>
      <x:c r="N57" t="n">
        <x:f>VALUE('Sheet2'!D57)</x:f>
        <x:v>0.0412</x:v>
      </x:c>
    </x:row>
    <x:row r="58">
      <x:c r="A58" t="str">
        <x:f>'Sheet2'!A58</x:f>
        <x:v>2024-05-17</x:v>
      </x:c>
      <x:c r="B58" t="n">
        <x:f>VALUE('Sheet2'!B58)</x:f>
        <x:v>0.9054</x:v>
      </x:c>
      <x:c r="C58" t="n">
        <x:f>VALUE('Sheet2'!C58)</x:f>
        <x:v>0.934</x:v>
      </x:c>
      <x:c r="D58" t="n">
        <x:f>IFERROR(B58/B57-1,"")</x:f>
        <x:v>-0.001323626737260053</x:v>
      </x:c>
      <x:c r="E58" t="n">
        <x:f>IFERROR(C58/C57-1,"")</x:f>
        <x:v>0.0031145956395661756</x:v>
      </x:c>
      <x:c r="F58" t="n">
        <x:f>IFERROR(D58-E58,"")</x:f>
        <x:v>-0.0044382223768262286</x:v>
      </x:c>
      <x:c r="G58" t="n">
        <x:f>MAX($B$2:B58)</x:f>
        <x:v>1.0115</x:v>
      </x:c>
      <x:c r="H58" t="n">
        <x:f>IFERROR(B58/G58-1,"")</x:f>
        <x:v>-0.10489372219476034</x:v>
      </x:c>
      <x:c r="I58" t="n">
        <x:f>MAX($C$2:C58)</x:f>
        <x:v>1.021</x:v>
      </x:c>
      <x:c r="J58" t="n">
        <x:f>IFERROR(C58/I58-1,"")</x:f>
        <x:v>-0.08521057786483821</x:v>
      </x:c>
      <x:c r="K58" t="n">
        <x:f>MAX(ABS(VALUE('Sheet2'!D58)-VALUE('Sheet2'!D57)),ABS(VALUE('Sheet2'!E58)-VALUE('Sheet2'!E57)),ABS(VALUE('Sheet2'!F58)-VALUE('Sheet2'!F57)),ABS(VALUE('Sheet2'!G58)-VALUE('Sheet2'!G57)),ABS(VALUE('Sheet2'!H58)-VALUE('Sheet2'!H57)),ABS(VALUE('Sheet2'!I58)-VALUE('Sheet2'!I57)),ABS(VALUE('Sheet2'!J58)-VALUE('Sheet2'!J57)),ABS(VALUE('Sheet2'!K58)-VALUE('Sheet2'!K57)),ABS(VALUE('Sheet2'!L58)-VALUE('Sheet2'!L57)),ABS(VALUE('Sheet2'!M58)-VALUE('Sheet2'!M57)),ABS(VALUE('Sheet2'!N58)-VALUE('Sheet2'!N57)),ABS(VALUE('Sheet2'!O58)-VALUE('Sheet2'!O57)),ABS(VALUE('Sheet2'!P58)-VALUE('Sheet2'!P57)))</x:f>
        <x:v>0.11040000000000001</x:v>
      </x:c>
      <x:c r="L58" t="n">
        <x:f>SUM(ABS(VALUE('Sheet2'!D58)-VALUE('Sheet2'!D57)),ABS(VALUE('Sheet2'!E58)-VALUE('Sheet2'!E57)),ABS(VALUE('Sheet2'!F58)-VALUE('Sheet2'!F57)),ABS(VALUE('Sheet2'!G58)-VALUE('Sheet2'!G57)),ABS(VALUE('Sheet2'!H58)-VALUE('Sheet2'!H57)),ABS(VALUE('Sheet2'!I58)-VALUE('Sheet2'!I57)),ABS(VALUE('Sheet2'!J58)-VALUE('Sheet2'!J57)),ABS(VALUE('Sheet2'!K58)-VALUE('Sheet2'!K57)),ABS(VALUE('Sheet2'!L58)-VALUE('Sheet2'!L57)),ABS(VALUE('Sheet2'!M58)-VALUE('Sheet2'!M57)),ABS(VALUE('Sheet2'!N58)-VALUE('Sheet2'!N57)),ABS(VALUE('Sheet2'!O58)-VALUE('Sheet2'!O57)),ABS(VALUE('Sheet2'!P58)-VALUE('Sheet2'!P57)))/2</x:f>
        <x:v>0.11184999999999999</x:v>
      </x:c>
      <x:c r="M58" t="n">
        <x:f>SUMSQ('Sheet2'!D58:P58)</x:f>
        <x:v>0.22100627</x:v>
      </x:c>
      <x:c r="N58" t="n">
        <x:f>VALUE('Sheet2'!D58)</x:f>
        <x:v>0.1516</x:v>
      </x:c>
    </x:row>
    <x:row r="59">
      <x:c r="A59" t="str">
        <x:f>'Sheet2'!A59</x:f>
        <x:v>2024-05-24</x:v>
      </x:c>
      <x:c r="B59" t="n">
        <x:f>VALUE('Sheet2'!B59)</x:f>
        <x:v>0.8937</x:v>
      </x:c>
      <x:c r="C59" t="n">
        <x:f>VALUE('Sheet2'!C59)</x:f>
        <x:v>0.9146</x:v>
      </x:c>
      <x:c r="D59" t="n">
        <x:f>IFERROR(B59/B58-1,"")</x:f>
        <x:v>-0.012922465208747402</x:v>
      </x:c>
      <x:c r="E59" t="n">
        <x:f>IFERROR(C59/C58-1,"")</x:f>
        <x:v>-0.020770877944325528</x:v>
      </x:c>
      <x:c r="F59" t="n">
        <x:f>IFERROR(D59-E59,"")</x:f>
        <x:v>0.007848412735578125</x:v>
      </x:c>
      <x:c r="G59" t="n">
        <x:f>MAX($B$2:B59)</x:f>
        <x:v>1.0115</x:v>
      </x:c>
      <x:c r="H59" t="n">
        <x:f>IFERROR(B59/G59-1,"")</x:f>
        <x:v>-0.11646070192782998</x:v>
      </x:c>
      <x:c r="I59" t="n">
        <x:f>MAX($C$2:C59)</x:f>
        <x:v>1.021</x:v>
      </x:c>
      <x:c r="J59" t="n">
        <x:f>IFERROR(C59/I59-1,"")</x:f>
        <x:v>-0.10421155729676779</x:v>
      </x:c>
      <x:c r="K59" t="n">
        <x:f>MAX(ABS(VALUE('Sheet2'!D59)-VALUE('Sheet2'!D58)),ABS(VALUE('Sheet2'!E59)-VALUE('Sheet2'!E58)),ABS(VALUE('Sheet2'!F59)-VALUE('Sheet2'!F58)),ABS(VALUE('Sheet2'!G59)-VALUE('Sheet2'!G58)),ABS(VALUE('Sheet2'!H59)-VALUE('Sheet2'!H58)),ABS(VALUE('Sheet2'!I59)-VALUE('Sheet2'!I58)),ABS(VALUE('Sheet2'!J59)-VALUE('Sheet2'!J58)),ABS(VALUE('Sheet2'!K59)-VALUE('Sheet2'!K58)),ABS(VALUE('Sheet2'!L59)-VALUE('Sheet2'!L58)),ABS(VALUE('Sheet2'!M59)-VALUE('Sheet2'!M58)),ABS(VALUE('Sheet2'!N59)-VALUE('Sheet2'!N58)),ABS(VALUE('Sheet2'!O59)-VALUE('Sheet2'!O58)),ABS(VALUE('Sheet2'!P59)-VALUE('Sheet2'!P58)))</x:f>
        <x:v>0.1085</x:v>
      </x:c>
      <x:c r="L59" t="n">
        <x:f>SUM(ABS(VALUE('Sheet2'!D59)-VALUE('Sheet2'!D58)),ABS(VALUE('Sheet2'!E59)-VALUE('Sheet2'!E58)),ABS(VALUE('Sheet2'!F59)-VALUE('Sheet2'!F58)),ABS(VALUE('Sheet2'!G59)-VALUE('Sheet2'!G58)),ABS(VALUE('Sheet2'!H59)-VALUE('Sheet2'!H58)),ABS(VALUE('Sheet2'!I59)-VALUE('Sheet2'!I58)),ABS(VALUE('Sheet2'!J59)-VALUE('Sheet2'!J58)),ABS(VALUE('Sheet2'!K59)-VALUE('Sheet2'!K58)),ABS(VALUE('Sheet2'!L59)-VALUE('Sheet2'!L58)),ABS(VALUE('Sheet2'!M59)-VALUE('Sheet2'!M58)),ABS(VALUE('Sheet2'!N59)-VALUE('Sheet2'!N58)),ABS(VALUE('Sheet2'!O59)-VALUE('Sheet2'!O58)),ABS(VALUE('Sheet2'!P59)-VALUE('Sheet2'!P58)))/2</x:f>
        <x:v>0.11485</x:v>
      </x:c>
      <x:c r="M59" t="n">
        <x:f>SUMSQ('Sheet2'!D59:P59)</x:f>
        <x:v>0.21478838000000003</x:v>
      </x:c>
      <x:c r="N59" t="n">
        <x:f>VALUE('Sheet2'!D59)</x:f>
        <x:v>0.095</x:v>
      </x:c>
    </x:row>
    <x:row r="60">
      <x:c r="A60" t="str">
        <x:f>'Sheet2'!A60</x:f>
        <x:v>2024-05-31</x:v>
      </x:c>
      <x:c r="B60" t="n">
        <x:f>VALUE('Sheet2'!B60)</x:f>
        <x:v>0.8925</x:v>
      </x:c>
      <x:c r="C60" t="n">
        <x:f>VALUE('Sheet2'!C60)</x:f>
        <x:v>0.9091</x:v>
      </x:c>
      <x:c r="D60" t="n">
        <x:f>IFERROR(B60/B59-1,"")</x:f>
        <x:v>-0.0013427324605573832</x:v>
      </x:c>
      <x:c r="E60" t="n">
        <x:f>IFERROR(C60/C59-1,"")</x:f>
        <x:v>-0.006013557839492645</x:v>
      </x:c>
      <x:c r="F60" t="n">
        <x:f>IFERROR(D60-E60,"")</x:f>
        <x:v>0.004670825378935262</x:v>
      </x:c>
      <x:c r="G60" t="n">
        <x:f>MAX($B$2:B60)</x:f>
        <x:v>1.0115</x:v>
      </x:c>
      <x:c r="H60" t="n">
        <x:f>IFERROR(B60/G60-1,"")</x:f>
        <x:v>-0.11764705882352955</x:v>
      </x:c>
      <x:c r="I60" t="n">
        <x:f>MAX($C$2:C60)</x:f>
        <x:v>1.021</x:v>
      </x:c>
      <x:c r="J60" t="n">
        <x:f>IFERROR(C60/I60-1,"")</x:f>
        <x:v>-0.10959843290891269</x:v>
      </x:c>
      <x:c r="K60" t="n">
        <x:f>MAX(ABS(VALUE('Sheet2'!D60)-VALUE('Sheet2'!D59)),ABS(VALUE('Sheet2'!E60)-VALUE('Sheet2'!E59)),ABS(VALUE('Sheet2'!F60)-VALUE('Sheet2'!F59)),ABS(VALUE('Sheet2'!G60)-VALUE('Sheet2'!G59)),ABS(VALUE('Sheet2'!H60)-VALUE('Sheet2'!H59)),ABS(VALUE('Sheet2'!I60)-VALUE('Sheet2'!I59)),ABS(VALUE('Sheet2'!J60)-VALUE('Sheet2'!J59)),ABS(VALUE('Sheet2'!K60)-VALUE('Sheet2'!K59)),ABS(VALUE('Sheet2'!L60)-VALUE('Sheet2'!L59)),ABS(VALUE('Sheet2'!M60)-VALUE('Sheet2'!M59)),ABS(VALUE('Sheet2'!N60)-VALUE('Sheet2'!N59)),ABS(VALUE('Sheet2'!O60)-VALUE('Sheet2'!O59)),ABS(VALUE('Sheet2'!P60)-VALUE('Sheet2'!P59)))</x:f>
        <x:v>0.0021999999999999936</x:v>
      </x:c>
      <x:c r="L60" t="n">
        <x:f>SUM(ABS(VALUE('Sheet2'!D60)-VALUE('Sheet2'!D59)),ABS(VALUE('Sheet2'!E60)-VALUE('Sheet2'!E59)),ABS(VALUE('Sheet2'!F60)-VALUE('Sheet2'!F59)),ABS(VALUE('Sheet2'!G60)-VALUE('Sheet2'!G59)),ABS(VALUE('Sheet2'!H60)-VALUE('Sheet2'!H59)),ABS(VALUE('Sheet2'!I60)-VALUE('Sheet2'!I59)),ABS(VALUE('Sheet2'!J60)-VALUE('Sheet2'!J59)),ABS(VALUE('Sheet2'!K60)-VALUE('Sheet2'!K59)),ABS(VALUE('Sheet2'!L60)-VALUE('Sheet2'!L59)),ABS(VALUE('Sheet2'!M60)-VALUE('Sheet2'!M59)),ABS(VALUE('Sheet2'!N60)-VALUE('Sheet2'!N59)),ABS(VALUE('Sheet2'!O60)-VALUE('Sheet2'!O59)),ABS(VALUE('Sheet2'!P60)-VALUE('Sheet2'!P59)))/2</x:f>
        <x:v>0.0026499999999999857</x:v>
      </x:c>
      <x:c r="M60" t="n">
        <x:f>SUMSQ('Sheet2'!D60:P60)</x:f>
        <x:v>0.21562843</x:v>
      </x:c>
      <x:c r="N60" t="n">
        <x:f>VALUE('Sheet2'!D60)</x:f>
        <x:v>0.0948</x:v>
      </x:c>
    </x:row>
    <x:row r="61">
      <x:c r="A61" t="str">
        <x:f>'Sheet2'!A61</x:f>
        <x:v>2024-06-07</x:v>
      </x:c>
      <x:c r="B61" t="n">
        <x:f>VALUE('Sheet2'!B61)</x:f>
        <x:v>0.8801</x:v>
      </x:c>
      <x:c r="C61" t="n">
        <x:f>VALUE('Sheet2'!C61)</x:f>
        <x:v>0.9077</x:v>
      </x:c>
      <x:c r="D61" t="n">
        <x:f>IFERROR(B61/B60-1,"")</x:f>
        <x:v>-0.01389355742296916</x:v>
      </x:c>
      <x:c r="E61" t="n">
        <x:f>IFERROR(C61/C60-1,"")</x:f>
        <x:v>-0.0015399846001540318</x:v>
      </x:c>
      <x:c r="F61" t="n">
        <x:f>IFERROR(D61-E61,"")</x:f>
        <x:v>-0.012353572822815129</x:v>
      </x:c>
      <x:c r="G61" t="n">
        <x:f>MAX($B$2:B61)</x:f>
        <x:v>1.0115</x:v>
      </x:c>
      <x:c r="H61" t="n">
        <x:f>IFERROR(B61/G61-1,"")</x:f>
        <x:v>-0.12990608007909055</x:v>
      </x:c>
      <x:c r="I61" t="n">
        <x:f>MAX($C$2:C61)</x:f>
        <x:v>1.021</x:v>
      </x:c>
      <x:c r="J61" t="n">
        <x:f>IFERROR(C61/I61-1,"")</x:f>
        <x:v>-0.11096963761018608</x:v>
      </x:c>
      <x:c r="K61" t="n">
        <x:f>MAX(ABS(VALUE('Sheet2'!D61)-VALUE('Sheet2'!D60)),ABS(VALUE('Sheet2'!E61)-VALUE('Sheet2'!E60)),ABS(VALUE('Sheet2'!F61)-VALUE('Sheet2'!F60)),ABS(VALUE('Sheet2'!G61)-VALUE('Sheet2'!G60)),ABS(VALUE('Sheet2'!H61)-VALUE('Sheet2'!H60)),ABS(VALUE('Sheet2'!I61)-VALUE('Sheet2'!I60)),ABS(VALUE('Sheet2'!J61)-VALUE('Sheet2'!J60)),ABS(VALUE('Sheet2'!K61)-VALUE('Sheet2'!K60)),ABS(VALUE('Sheet2'!L61)-VALUE('Sheet2'!L60)),ABS(VALUE('Sheet2'!M61)-VALUE('Sheet2'!M60)),ABS(VALUE('Sheet2'!N61)-VALUE('Sheet2'!N60)),ABS(VALUE('Sheet2'!O61)-VALUE('Sheet2'!O60)),ABS(VALUE('Sheet2'!P61)-VALUE('Sheet2'!P60)))</x:f>
        <x:v>0.0569</x:v>
      </x:c>
      <x:c r="L61" t="n">
        <x:f>SUM(ABS(VALUE('Sheet2'!D61)-VALUE('Sheet2'!D60)),ABS(VALUE('Sheet2'!E61)-VALUE('Sheet2'!E60)),ABS(VALUE('Sheet2'!F61)-VALUE('Sheet2'!F60)),ABS(VALUE('Sheet2'!G61)-VALUE('Sheet2'!G60)),ABS(VALUE('Sheet2'!H61)-VALUE('Sheet2'!H60)),ABS(VALUE('Sheet2'!I61)-VALUE('Sheet2'!I60)),ABS(VALUE('Sheet2'!J61)-VALUE('Sheet2'!J60)),ABS(VALUE('Sheet2'!K61)-VALUE('Sheet2'!K60)),ABS(VALUE('Sheet2'!L61)-VALUE('Sheet2'!L60)),ABS(VALUE('Sheet2'!M61)-VALUE('Sheet2'!M60)),ABS(VALUE('Sheet2'!N61)-VALUE('Sheet2'!N60)),ABS(VALUE('Sheet2'!O61)-VALUE('Sheet2'!O60)),ABS(VALUE('Sheet2'!P61)-VALUE('Sheet2'!P60)))/2</x:f>
        <x:v>0.06484999999999999</x:v>
      </x:c>
      <x:c r="M61" t="n">
        <x:f>SUMSQ('Sheet2'!D61:P61)</x:f>
        <x:v>0.20804664</x:v>
      </x:c>
      <x:c r="N61" t="n">
        <x:f>VALUE('Sheet2'!D61)</x:f>
        <x:v>0.039</x:v>
      </x:c>
    </x:row>
    <x:row r="62">
      <x:c r="A62" t="str">
        <x:f>'Sheet2'!A62</x:f>
        <x:v>2024-06-14</x:v>
      </x:c>
      <x:c r="B62" t="n">
        <x:f>VALUE('Sheet2'!B62)</x:f>
        <x:v>0.8803</x:v>
      </x:c>
      <x:c r="C62" t="n">
        <x:f>VALUE('Sheet2'!C62)</x:f>
        <x:v>0.8994</x:v>
      </x:c>
      <x:c r="D62" t="n">
        <x:f>IFERROR(B62/B61-1,"")</x:f>
        <x:v>0.00022724690376096923</x:v>
      </x:c>
      <x:c r="E62" t="n">
        <x:f>IFERROR(C62/C61-1,"")</x:f>
        <x:v>-0.009143990305166882</x:v>
      </x:c>
      <x:c r="F62" t="n">
        <x:f>IFERROR(D62-E62,"")</x:f>
        <x:v>0.009371237208927852</x:v>
      </x:c>
      <x:c r="G62" t="n">
        <x:f>MAX($B$2:B62)</x:f>
        <x:v>1.0115</x:v>
      </x:c>
      <x:c r="H62" t="n">
        <x:f>IFERROR(B62/G62-1,"")</x:f>
        <x:v>-0.12970835392980729</x:v>
      </x:c>
      <x:c r="I62" t="n">
        <x:f>MAX($C$2:C62)</x:f>
        <x:v>1.021</x:v>
      </x:c>
      <x:c r="J62" t="n">
        <x:f>IFERROR(C62/I62-1,"")</x:f>
        <x:v>-0.11909892262487753</x:v>
      </x:c>
      <x:c r="K62" t="n">
        <x:f>MAX(ABS(VALUE('Sheet2'!D62)-VALUE('Sheet2'!D61)),ABS(VALUE('Sheet2'!E62)-VALUE('Sheet2'!E61)),ABS(VALUE('Sheet2'!F62)-VALUE('Sheet2'!F61)),ABS(VALUE('Sheet2'!G62)-VALUE('Sheet2'!G61)),ABS(VALUE('Sheet2'!H62)-VALUE('Sheet2'!H61)),ABS(VALUE('Sheet2'!I62)-VALUE('Sheet2'!I61)),ABS(VALUE('Sheet2'!J62)-VALUE('Sheet2'!J61)),ABS(VALUE('Sheet2'!K62)-VALUE('Sheet2'!K61)),ABS(VALUE('Sheet2'!L62)-VALUE('Sheet2'!L61)),ABS(VALUE('Sheet2'!M62)-VALUE('Sheet2'!M61)),ABS(VALUE('Sheet2'!N62)-VALUE('Sheet2'!N61)),ABS(VALUE('Sheet2'!O62)-VALUE('Sheet2'!O61)),ABS(VALUE('Sheet2'!P62)-VALUE('Sheet2'!P61)))</x:f>
        <x:v>0.002699999999999994</x:v>
      </x:c>
      <x:c r="L62" t="n">
        <x:f>SUM(ABS(VALUE('Sheet2'!D62)-VALUE('Sheet2'!D61)),ABS(VALUE('Sheet2'!E62)-VALUE('Sheet2'!E61)),ABS(VALUE('Sheet2'!F62)-VALUE('Sheet2'!F61)),ABS(VALUE('Sheet2'!G62)-VALUE('Sheet2'!G61)),ABS(VALUE('Sheet2'!H62)-VALUE('Sheet2'!H61)),ABS(VALUE('Sheet2'!I62)-VALUE('Sheet2'!I61)),ABS(VALUE('Sheet2'!J62)-VALUE('Sheet2'!J61)),ABS(VALUE('Sheet2'!K62)-VALUE('Sheet2'!K61)),ABS(VALUE('Sheet2'!L62)-VALUE('Sheet2'!L61)),ABS(VALUE('Sheet2'!M62)-VALUE('Sheet2'!M61)),ABS(VALUE('Sheet2'!N62)-VALUE('Sheet2'!N61)),ABS(VALUE('Sheet2'!O62)-VALUE('Sheet2'!O61)),ABS(VALUE('Sheet2'!P62)-VALUE('Sheet2'!P61)))/2</x:f>
        <x:v>0.002999999999999999</x:v>
      </x:c>
      <x:c r="M62" t="n">
        <x:f>SUMSQ('Sheet2'!D62:P62)</x:f>
        <x:v>0.20920452</x:v>
      </x:c>
      <x:c r="N62" t="n">
        <x:f>VALUE('Sheet2'!D62)</x:f>
        <x:v>0.0387</x:v>
      </x:c>
    </x:row>
    <x:row r="63">
      <x:c r="A63" t="str">
        <x:f>'Sheet2'!A63</x:f>
        <x:v>2024-06-21</x:v>
      </x:c>
      <x:c r="B63" t="n">
        <x:f>VALUE('Sheet2'!B63)</x:f>
        <x:v>0.8758</x:v>
      </x:c>
      <x:c r="C63" t="n">
        <x:f>VALUE('Sheet2'!C63)</x:f>
        <x:v>0.8877</x:v>
      </x:c>
      <x:c r="D63" t="n">
        <x:f>IFERROR(B63/B62-1,"")</x:f>
        <x:v>-0.005111893672611556</x:v>
      </x:c>
      <x:c r="E63" t="n">
        <x:f>IFERROR(C63/C62-1,"")</x:f>
        <x:v>-0.013008672448298841</x:v>
      </x:c>
      <x:c r="F63" t="n">
        <x:f>IFERROR(D63-E63,"")</x:f>
        <x:v>0.007896778775687285</x:v>
      </x:c>
      <x:c r="G63" t="n">
        <x:f>MAX($B$2:B63)</x:f>
        <x:v>1.0115</x:v>
      </x:c>
      <x:c r="H63" t="n">
        <x:f>IFERROR(B63/G63-1,"")</x:f>
        <x:v>-0.13415719228868017</x:v>
      </x:c>
      <x:c r="I63" t="n">
        <x:f>MAX($C$2:C63)</x:f>
        <x:v>1.021</x:v>
      </x:c>
      <x:c r="J63" t="n">
        <x:f>IFERROR(C63/I63-1,"")</x:f>
        <x:v>-0.13055827619980398</x:v>
      </x:c>
      <x:c r="K63" t="n">
        <x:f>MAX(ABS(VALUE('Sheet2'!D63)-VALUE('Sheet2'!D62)),ABS(VALUE('Sheet2'!E63)-VALUE('Sheet2'!E62)),ABS(VALUE('Sheet2'!F63)-VALUE('Sheet2'!F62)),ABS(VALUE('Sheet2'!G63)-VALUE('Sheet2'!G62)),ABS(VALUE('Sheet2'!H63)-VALUE('Sheet2'!H62)),ABS(VALUE('Sheet2'!I63)-VALUE('Sheet2'!I62)),ABS(VALUE('Sheet2'!J63)-VALUE('Sheet2'!J62)),ABS(VALUE('Sheet2'!K63)-VALUE('Sheet2'!K62)),ABS(VALUE('Sheet2'!L63)-VALUE('Sheet2'!L62)),ABS(VALUE('Sheet2'!M63)-VALUE('Sheet2'!M62)),ABS(VALUE('Sheet2'!N63)-VALUE('Sheet2'!N62)),ABS(VALUE('Sheet2'!O63)-VALUE('Sheet2'!O62)),ABS(VALUE('Sheet2'!P63)-VALUE('Sheet2'!P62)))</x:f>
        <x:v>0.0039000000000000146</x:v>
      </x:c>
      <x:c r="L63" t="n">
        <x:f>SUM(ABS(VALUE('Sheet2'!D63)-VALUE('Sheet2'!D62)),ABS(VALUE('Sheet2'!E63)-VALUE('Sheet2'!E62)),ABS(VALUE('Sheet2'!F63)-VALUE('Sheet2'!F62)),ABS(VALUE('Sheet2'!G63)-VALUE('Sheet2'!G62)),ABS(VALUE('Sheet2'!H63)-VALUE('Sheet2'!H62)),ABS(VALUE('Sheet2'!I63)-VALUE('Sheet2'!I62)),ABS(VALUE('Sheet2'!J63)-VALUE('Sheet2'!J62)),ABS(VALUE('Sheet2'!K63)-VALUE('Sheet2'!K62)),ABS(VALUE('Sheet2'!L63)-VALUE('Sheet2'!L62)),ABS(VALUE('Sheet2'!M63)-VALUE('Sheet2'!M62)),ABS(VALUE('Sheet2'!N63)-VALUE('Sheet2'!N62)),ABS(VALUE('Sheet2'!O63)-VALUE('Sheet2'!O62)),ABS(VALUE('Sheet2'!P63)-VALUE('Sheet2'!P62)))/2</x:f>
        <x:v>0.00410000000000002</x:v>
      </x:c>
      <x:c r="M63" t="n">
        <x:f>SUMSQ('Sheet2'!D63:P63)</x:f>
        <x:v>0.20777147999999998</x:v>
      </x:c>
      <x:c r="N63" t="n">
        <x:f>VALUE('Sheet2'!D63)</x:f>
        <x:v>0.0387</x:v>
      </x:c>
    </x:row>
    <x:row r="64">
      <x:c r="A64" t="str">
        <x:f>'Sheet2'!A64</x:f>
        <x:v>2024-06-28</x:v>
      </x:c>
      <x:c r="B64" t="n">
        <x:f>VALUE('Sheet2'!B64)</x:f>
        <x:v>0.8695</x:v>
      </x:c>
      <x:c r="C64" t="n">
        <x:f>VALUE('Sheet2'!C64)</x:f>
        <x:v>0.8791</x:v>
      </x:c>
      <x:c r="D64" t="n">
        <x:f>IFERROR(B64/B63-1,"")</x:f>
        <x:v>-0.007193423155971601</x:v>
      </x:c>
      <x:c r="E64" t="n">
        <x:f>IFERROR(C64/C63-1,"")</x:f>
        <x:v>-0.009687957643348066</x:v>
      </x:c>
      <x:c r="F64" t="n">
        <x:f>IFERROR(D64-E64,"")</x:f>
        <x:v>0.002494534487376465</x:v>
      </x:c>
      <x:c r="G64" t="n">
        <x:f>MAX($B$2:B64)</x:f>
        <x:v>1.0115</x:v>
      </x:c>
      <x:c r="H64" t="n">
        <x:f>IFERROR(B64/G64-1,"")</x:f>
        <x:v>-0.1403855659911023</x:v>
      </x:c>
      <x:c r="I64" t="n">
        <x:f>MAX($C$2:C64)</x:f>
        <x:v>1.021</x:v>
      </x:c>
      <x:c r="J64" t="n">
        <x:f>IFERROR(C64/I64-1,"")</x:f>
        <x:v>-0.13898139079333982</x:v>
      </x:c>
      <x:c r="K64" t="n">
        <x:f>MAX(ABS(VALUE('Sheet2'!D64)-VALUE('Sheet2'!D63)),ABS(VALUE('Sheet2'!E64)-VALUE('Sheet2'!E63)),ABS(VALUE('Sheet2'!F64)-VALUE('Sheet2'!F63)),ABS(VALUE('Sheet2'!G64)-VALUE('Sheet2'!G63)),ABS(VALUE('Sheet2'!H64)-VALUE('Sheet2'!H63)),ABS(VALUE('Sheet2'!I64)-VALUE('Sheet2'!I63)),ABS(VALUE('Sheet2'!J64)-VALUE('Sheet2'!J63)),ABS(VALUE('Sheet2'!K64)-VALUE('Sheet2'!K63)),ABS(VALUE('Sheet2'!L64)-VALUE('Sheet2'!L63)),ABS(VALUE('Sheet2'!M64)-VALUE('Sheet2'!M63)),ABS(VALUE('Sheet2'!N64)-VALUE('Sheet2'!N63)),ABS(VALUE('Sheet2'!O64)-VALUE('Sheet2'!O63)),ABS(VALUE('Sheet2'!P64)-VALUE('Sheet2'!P63)))</x:f>
        <x:v>0.003699999999999981</x:v>
      </x:c>
      <x:c r="L64" t="n">
        <x:f>SUM(ABS(VALUE('Sheet2'!D64)-VALUE('Sheet2'!D63)),ABS(VALUE('Sheet2'!E64)-VALUE('Sheet2'!E63)),ABS(VALUE('Sheet2'!F64)-VALUE('Sheet2'!F63)),ABS(VALUE('Sheet2'!G64)-VALUE('Sheet2'!G63)),ABS(VALUE('Sheet2'!H64)-VALUE('Sheet2'!H63)),ABS(VALUE('Sheet2'!I64)-VALUE('Sheet2'!I63)),ABS(VALUE('Sheet2'!J64)-VALUE('Sheet2'!J63)),ABS(VALUE('Sheet2'!K64)-VALUE('Sheet2'!K63)),ABS(VALUE('Sheet2'!L64)-VALUE('Sheet2'!L63)),ABS(VALUE('Sheet2'!M64)-VALUE('Sheet2'!M63)),ABS(VALUE('Sheet2'!N64)-VALUE('Sheet2'!N63)),ABS(VALUE('Sheet2'!O64)-VALUE('Sheet2'!O63)),ABS(VALUE('Sheet2'!P64)-VALUE('Sheet2'!P63)))/2</x:f>
        <x:v>0.004599999999999983</x:v>
      </x:c>
      <x:c r="M64" t="n">
        <x:f>SUMSQ('Sheet2'!D64:P64)</x:f>
        <x:v>0.20642448000000002</x:v>
      </x:c>
      <x:c r="N64" t="n">
        <x:f>VALUE('Sheet2'!D64)</x:f>
        <x:v>0.0386</x:v>
      </x:c>
    </x:row>
    <x:row r="65">
      <x:c r="A65" t="str">
        <x:f>'Sheet2'!A65</x:f>
        <x:v>2024-07-05</x:v>
      </x:c>
      <x:c r="B65" t="n">
        <x:f>VALUE('Sheet2'!B65)</x:f>
        <x:v>0.8676</x:v>
      </x:c>
      <x:c r="C65" t="n">
        <x:f>VALUE('Sheet2'!C65)</x:f>
        <x:v>0.8713</x:v>
      </x:c>
      <x:c r="D65" t="n">
        <x:f>IFERROR(B65/B64-1,"")</x:f>
        <x:v>-0.002185163887291508</x:v>
      </x:c>
      <x:c r="E65" t="n">
        <x:f>IFERROR(C65/C64-1,"")</x:f>
        <x:v>-0.008872710726879784</x:v>
      </x:c>
      <x:c r="F65" t="n">
        <x:f>IFERROR(D65-E65,"")</x:f>
        <x:v>0.0066875468395882764</x:v>
      </x:c>
      <x:c r="G65" t="n">
        <x:f>MAX($B$2:B65)</x:f>
        <x:v>1.0115</x:v>
      </x:c>
      <x:c r="H65" t="n">
        <x:f>IFERROR(B65/G65-1,"")</x:f>
        <x:v>-0.14226396440929312</x:v>
      </x:c>
      <x:c r="I65" t="n">
        <x:f>MAX($C$2:C65)</x:f>
        <x:v>1.021</x:v>
      </x:c>
      <x:c r="J65" t="n">
        <x:f>IFERROR(C65/I65-1,"")</x:f>
        <x:v>-0.14662095984329082</x:v>
      </x:c>
      <x:c r="K65" t="n">
        <x:f>MAX(ABS(VALUE('Sheet2'!D65)-VALUE('Sheet2'!D64)),ABS(VALUE('Sheet2'!E65)-VALUE('Sheet2'!E64)),ABS(VALUE('Sheet2'!F65)-VALUE('Sheet2'!F64)),ABS(VALUE('Sheet2'!G65)-VALUE('Sheet2'!G64)),ABS(VALUE('Sheet2'!H65)-VALUE('Sheet2'!H64)),ABS(VALUE('Sheet2'!I65)-VALUE('Sheet2'!I64)),ABS(VALUE('Sheet2'!J65)-VALUE('Sheet2'!J64)),ABS(VALUE('Sheet2'!K65)-VALUE('Sheet2'!K64)),ABS(VALUE('Sheet2'!L65)-VALUE('Sheet2'!L64)),ABS(VALUE('Sheet2'!M65)-VALUE('Sheet2'!M64)),ABS(VALUE('Sheet2'!N65)-VALUE('Sheet2'!N64)),ABS(VALUE('Sheet2'!O65)-VALUE('Sheet2'!O64)),ABS(VALUE('Sheet2'!P65)-VALUE('Sheet2'!P64)))</x:f>
        <x:v>0.09560000000000002</x:v>
      </x:c>
      <x:c r="L65" t="n">
        <x:f>SUM(ABS(VALUE('Sheet2'!D65)-VALUE('Sheet2'!D64)),ABS(VALUE('Sheet2'!E65)-VALUE('Sheet2'!E64)),ABS(VALUE('Sheet2'!F65)-VALUE('Sheet2'!F64)),ABS(VALUE('Sheet2'!G65)-VALUE('Sheet2'!G64)),ABS(VALUE('Sheet2'!H65)-VALUE('Sheet2'!H64)),ABS(VALUE('Sheet2'!I65)-VALUE('Sheet2'!I64)),ABS(VALUE('Sheet2'!J65)-VALUE('Sheet2'!J64)),ABS(VALUE('Sheet2'!K65)-VALUE('Sheet2'!K64)),ABS(VALUE('Sheet2'!L65)-VALUE('Sheet2'!L64)),ABS(VALUE('Sheet2'!M65)-VALUE('Sheet2'!M64)),ABS(VALUE('Sheet2'!N65)-VALUE('Sheet2'!N64)),ABS(VALUE('Sheet2'!O65)-VALUE('Sheet2'!O64)),ABS(VALUE('Sheet2'!P65)-VALUE('Sheet2'!P64)))/2</x:f>
        <x:v>0.09840000000000002</x:v>
      </x:c>
      <x:c r="M65" t="n">
        <x:f>SUMSQ('Sheet2'!D65:P65)</x:f>
        <x:v>0.20223552</x:v>
      </x:c>
      <x:c r="N65" t="n">
        <x:f>VALUE('Sheet2'!D65)</x:f>
        <x:v>0.1342</x:v>
      </x:c>
    </x:row>
    <x:row r="66">
      <x:c r="A66" t="str">
        <x:f>'Sheet2'!A66</x:f>
        <x:v>2024-07-12</x:v>
      </x:c>
      <x:c r="B66" t="n">
        <x:f>VALUE('Sheet2'!B66)</x:f>
        <x:v>0.8731</x:v>
      </x:c>
      <x:c r="C66" t="n">
        <x:f>VALUE('Sheet2'!C66)</x:f>
        <x:v>0.8818</x:v>
      </x:c>
      <x:c r="D66" t="n">
        <x:f>IFERROR(B66/B65-1,"")</x:f>
        <x:v>0.006339326878745943</x:v>
      </x:c>
      <x:c r="E66" t="n">
        <x:f>IFERROR(C66/C65-1,"")</x:f>
        <x:v>0.012050958338115425</x:v>
      </x:c>
      <x:c r="F66" t="n">
        <x:f>IFERROR(D66-E66,"")</x:f>
        <x:v>-0.005711631459369482</x:v>
      </x:c>
      <x:c r="G66" t="n">
        <x:f>MAX($B$2:B66)</x:f>
        <x:v>1.0115</x:v>
      </x:c>
      <x:c r="H66" t="n">
        <x:f>IFERROR(B66/G66-1,"")</x:f>
        <x:v>-0.13682649530400404</x:v>
      </x:c>
      <x:c r="I66" t="n">
        <x:f>MAX($C$2:C66)</x:f>
        <x:v>1.021</x:v>
      </x:c>
      <x:c r="J66" t="n">
        <x:f>IFERROR(C66/I66-1,"")</x:f>
        <x:v>-0.13633692458374136</x:v>
      </x:c>
      <x:c r="K66" t="n">
        <x:f>MAX(ABS(VALUE('Sheet2'!D66)-VALUE('Sheet2'!D65)),ABS(VALUE('Sheet2'!E66)-VALUE('Sheet2'!E65)),ABS(VALUE('Sheet2'!F66)-VALUE('Sheet2'!F65)),ABS(VALUE('Sheet2'!G66)-VALUE('Sheet2'!G65)),ABS(VALUE('Sheet2'!H66)-VALUE('Sheet2'!H65)),ABS(VALUE('Sheet2'!I66)-VALUE('Sheet2'!I65)),ABS(VALUE('Sheet2'!J66)-VALUE('Sheet2'!J65)),ABS(VALUE('Sheet2'!K66)-VALUE('Sheet2'!K65)),ABS(VALUE('Sheet2'!L66)-VALUE('Sheet2'!L65)),ABS(VALUE('Sheet2'!M66)-VALUE('Sheet2'!M65)),ABS(VALUE('Sheet2'!N66)-VALUE('Sheet2'!N65)),ABS(VALUE('Sheet2'!O66)-VALUE('Sheet2'!O65)),ABS(VALUE('Sheet2'!P66)-VALUE('Sheet2'!P65)))</x:f>
        <x:v>0.003599999999999992</x:v>
      </x:c>
      <x:c r="L66" t="n">
        <x:f>SUM(ABS(VALUE('Sheet2'!D66)-VALUE('Sheet2'!D65)),ABS(VALUE('Sheet2'!E66)-VALUE('Sheet2'!E65)),ABS(VALUE('Sheet2'!F66)-VALUE('Sheet2'!F65)),ABS(VALUE('Sheet2'!G66)-VALUE('Sheet2'!G65)),ABS(VALUE('Sheet2'!H66)-VALUE('Sheet2'!H65)),ABS(VALUE('Sheet2'!I66)-VALUE('Sheet2'!I65)),ABS(VALUE('Sheet2'!J66)-VALUE('Sheet2'!J65)),ABS(VALUE('Sheet2'!K66)-VALUE('Sheet2'!K65)),ABS(VALUE('Sheet2'!L66)-VALUE('Sheet2'!L65)),ABS(VALUE('Sheet2'!M66)-VALUE('Sheet2'!M65)),ABS(VALUE('Sheet2'!N66)-VALUE('Sheet2'!N65)),ABS(VALUE('Sheet2'!O66)-VALUE('Sheet2'!O65)),ABS(VALUE('Sheet2'!P66)-VALUE('Sheet2'!P65)))/2</x:f>
        <x:v>0.004299999999999998</x:v>
      </x:c>
      <x:c r="M66" t="n">
        <x:f>SUMSQ('Sheet2'!D66:P66)</x:f>
        <x:v>0.20350516</x:v>
      </x:c>
      <x:c r="N66" t="n">
        <x:f>VALUE('Sheet2'!D66)</x:f>
        <x:v>0.1331</x:v>
      </x:c>
    </x:row>
    <x:row r="67">
      <x:c r="A67" t="str">
        <x:f>'Sheet2'!A67</x:f>
        <x:v>2024-07-19</x:v>
      </x:c>
      <x:c r="B67" t="n">
        <x:f>VALUE('Sheet2'!B67)</x:f>
        <x:v>0.8633</x:v>
      </x:c>
      <x:c r="C67" t="n">
        <x:f>VALUE('Sheet2'!C67)</x:f>
        <x:v>0.8987</x:v>
      </x:c>
      <x:c r="D67" t="n">
        <x:f>IFERROR(B67/B66-1,"")</x:f>
        <x:v>-0.011224372924063752</x:v>
      </x:c>
      <x:c r="E67" t="n">
        <x:f>IFERROR(C67/C66-1,"")</x:f>
        <x:v>0.019165343615332286</x:v>
      </x:c>
      <x:c r="F67" t="n">
        <x:f>IFERROR(D67-E67,"")</x:f>
        <x:v>-0.03038971653939604</x:v>
      </x:c>
      <x:c r="G67" t="n">
        <x:f>MAX($B$2:B67)</x:f>
        <x:v>1.0115</x:v>
      </x:c>
      <x:c r="H67" t="n">
        <x:f>IFERROR(B67/G67-1,"")</x:f>
        <x:v>-0.14651507661888297</x:v>
      </x:c>
      <x:c r="I67" t="n">
        <x:f>MAX($C$2:C67)</x:f>
        <x:v>1.021</x:v>
      </x:c>
      <x:c r="J67" t="n">
        <x:f>IFERROR(C67/I67-1,"")</x:f>
        <x:v>-0.11978452497551406</x:v>
      </x:c>
      <x:c r="K67" t="n">
        <x:f>MAX(ABS(VALUE('Sheet2'!D67)-VALUE('Sheet2'!D66)),ABS(VALUE('Sheet2'!E67)-VALUE('Sheet2'!E66)),ABS(VALUE('Sheet2'!F67)-VALUE('Sheet2'!F66)),ABS(VALUE('Sheet2'!G67)-VALUE('Sheet2'!G66)),ABS(VALUE('Sheet2'!H67)-VALUE('Sheet2'!H66)),ABS(VALUE('Sheet2'!I67)-VALUE('Sheet2'!I66)),ABS(VALUE('Sheet2'!J67)-VALUE('Sheet2'!J66)),ABS(VALUE('Sheet2'!K67)-VALUE('Sheet2'!K66)),ABS(VALUE('Sheet2'!L67)-VALUE('Sheet2'!L66)),ABS(VALUE('Sheet2'!M67)-VALUE('Sheet2'!M66)),ABS(VALUE('Sheet2'!N67)-VALUE('Sheet2'!N66)),ABS(VALUE('Sheet2'!O67)-VALUE('Sheet2'!O66)),ABS(VALUE('Sheet2'!P67)-VALUE('Sheet2'!P66)))</x:f>
        <x:v>0.0034000000000000002</x:v>
      </x:c>
      <x:c r="L67" t="n">
        <x:f>SUM(ABS(VALUE('Sheet2'!D67)-VALUE('Sheet2'!D66)),ABS(VALUE('Sheet2'!E67)-VALUE('Sheet2'!E66)),ABS(VALUE('Sheet2'!F67)-VALUE('Sheet2'!F66)),ABS(VALUE('Sheet2'!G67)-VALUE('Sheet2'!G66)),ABS(VALUE('Sheet2'!H67)-VALUE('Sheet2'!H66)),ABS(VALUE('Sheet2'!I67)-VALUE('Sheet2'!I66)),ABS(VALUE('Sheet2'!J67)-VALUE('Sheet2'!J66)),ABS(VALUE('Sheet2'!K67)-VALUE('Sheet2'!K66)),ABS(VALUE('Sheet2'!L67)-VALUE('Sheet2'!L66)),ABS(VALUE('Sheet2'!M67)-VALUE('Sheet2'!M66)),ABS(VALUE('Sheet2'!N67)-VALUE('Sheet2'!N66)),ABS(VALUE('Sheet2'!O67)-VALUE('Sheet2'!O66)),ABS(VALUE('Sheet2'!P67)-VALUE('Sheet2'!P66)))/2</x:f>
        <x:v>0.0041999999999999885</x:v>
      </x:c>
      <x:c r="M67" t="n">
        <x:f>SUMSQ('Sheet2'!D67:P67)</x:f>
        <x:v>0.20358504000000002</x:v>
      </x:c>
      <x:c r="N67" t="n">
        <x:f>VALUE('Sheet2'!D67)</x:f>
        <x:v>0.1343</x:v>
      </x:c>
    </x:row>
    <x:row r="68">
      <x:c r="A68" t="str">
        <x:f>'Sheet2'!A68</x:f>
        <x:v>2024-07-26</x:v>
      </x:c>
      <x:c r="B68" t="n">
        <x:f>VALUE('Sheet2'!B68)</x:f>
        <x:v>0.8518</x:v>
      </x:c>
      <x:c r="C68" t="n">
        <x:f>VALUE('Sheet2'!C68)</x:f>
        <x:v>0.8658</x:v>
      </x:c>
      <x:c r="D68" t="n">
        <x:f>IFERROR(B68/B67-1,"")</x:f>
        <x:v>-0.01332097764392437</x:v>
      </x:c>
      <x:c r="E68" t="n">
        <x:f>IFERROR(C68/C67-1,"")</x:f>
        <x:v>-0.03660843440525208</x:v>
      </x:c>
      <x:c r="F68" t="n">
        <x:f>IFERROR(D68-E68,"")</x:f>
        <x:v>0.023287456761327707</x:v>
      </x:c>
      <x:c r="G68" t="n">
        <x:f>MAX($B$2:B68)</x:f>
        <x:v>1.0115</x:v>
      </x:c>
      <x:c r="H68" t="n">
        <x:f>IFERROR(B68/G68-1,"")</x:f>
        <x:v>-0.15788433020266934</x:v>
      </x:c>
      <x:c r="I68" t="n">
        <x:f>MAX($C$2:C68)</x:f>
        <x:v>1.021</x:v>
      </x:c>
      <x:c r="J68" t="n">
        <x:f>IFERROR(C68/I68-1,"")</x:f>
        <x:v>-0.15200783545543572</x:v>
      </x:c>
      <x:c r="K68" t="n">
        <x:f>MAX(ABS(VALUE('Sheet2'!D68)-VALUE('Sheet2'!D67)),ABS(VALUE('Sheet2'!E68)-VALUE('Sheet2'!E67)),ABS(VALUE('Sheet2'!F68)-VALUE('Sheet2'!F67)),ABS(VALUE('Sheet2'!G68)-VALUE('Sheet2'!G67)),ABS(VALUE('Sheet2'!H68)-VALUE('Sheet2'!H67)),ABS(VALUE('Sheet2'!I68)-VALUE('Sheet2'!I67)),ABS(VALUE('Sheet2'!J68)-VALUE('Sheet2'!J67)),ABS(VALUE('Sheet2'!K68)-VALUE('Sheet2'!K67)),ABS(VALUE('Sheet2'!L68)-VALUE('Sheet2'!L67)),ABS(VALUE('Sheet2'!M68)-VALUE('Sheet2'!M67)),ABS(VALUE('Sheet2'!N68)-VALUE('Sheet2'!N67)),ABS(VALUE('Sheet2'!O68)-VALUE('Sheet2'!O67)),ABS(VALUE('Sheet2'!P68)-VALUE('Sheet2'!P67)))</x:f>
        <x:v>0.0034000000000000002</x:v>
      </x:c>
      <x:c r="L68" t="n">
        <x:f>SUM(ABS(VALUE('Sheet2'!D68)-VALUE('Sheet2'!D67)),ABS(VALUE('Sheet2'!E68)-VALUE('Sheet2'!E67)),ABS(VALUE('Sheet2'!F68)-VALUE('Sheet2'!F67)),ABS(VALUE('Sheet2'!G68)-VALUE('Sheet2'!G67)),ABS(VALUE('Sheet2'!H68)-VALUE('Sheet2'!H67)),ABS(VALUE('Sheet2'!I68)-VALUE('Sheet2'!I67)),ABS(VALUE('Sheet2'!J68)-VALUE('Sheet2'!J67)),ABS(VALUE('Sheet2'!K68)-VALUE('Sheet2'!K67)),ABS(VALUE('Sheet2'!L68)-VALUE('Sheet2'!L67)),ABS(VALUE('Sheet2'!M68)-VALUE('Sheet2'!M67)),ABS(VALUE('Sheet2'!N68)-VALUE('Sheet2'!N67)),ABS(VALUE('Sheet2'!O68)-VALUE('Sheet2'!O67)),ABS(VALUE('Sheet2'!P68)-VALUE('Sheet2'!P67)))/2</x:f>
        <x:v>0.0070500000000000215</x:v>
      </x:c>
      <x:c r="M68" t="n">
        <x:f>SUMSQ('Sheet2'!D68:P68)</x:f>
        <x:v>0.20385115</x:v>
      </x:c>
      <x:c r="N68" t="n">
        <x:f>VALUE('Sheet2'!D68)</x:f>
        <x:v>0.1313</x:v>
      </x:c>
    </x:row>
    <x:row r="69">
      <x:c r="A69" t="str">
        <x:f>'Sheet2'!A69</x:f>
        <x:v>2024-07-31</x:v>
      </x:c>
      <x:c r="B69" t="n">
        <x:f>VALUE('Sheet2'!B69)</x:f>
        <x:v>0.8607</x:v>
      </x:c>
      <x:c r="C69" t="n">
        <x:f>VALUE('Sheet2'!C69)</x:f>
        <x:v>0.8741</x:v>
      </x:c>
      <x:c r="D69" t="n">
        <x:f>IFERROR(B69/B68-1,"")</x:f>
        <x:v>0.01044846208030048</x:v>
      </x:c>
      <x:c r="E69" t="n">
        <x:f>IFERROR(C69/C68-1,"")</x:f>
        <x:v>0.009586509586509528</x:v>
      </x:c>
      <x:c r="F69" t="n">
        <x:f>IFERROR(D69-E69,"")</x:f>
        <x:v>0.0008619524937909517</x:v>
      </x:c>
      <x:c r="G69" t="n">
        <x:f>MAX($B$2:B69)</x:f>
        <x:v>1.0115</x:v>
      </x:c>
      <x:c r="H69" t="n">
        <x:f>IFERROR(B69/G69-1,"")</x:f>
        <x:v>-0.14908551655956503</x:v>
      </x:c>
      <x:c r="I69" t="n">
        <x:f>MAX($C$2:C69)</x:f>
        <x:v>1.021</x:v>
      </x:c>
      <x:c r="J69" t="n">
        <x:f>IFERROR(C69/I69-1,"")</x:f>
        <x:v>-0.14387855044074427</x:v>
      </x:c>
      <x:c r="K69" t="n">
        <x:f>MAX(ABS(VALUE('Sheet2'!D69)-VALUE('Sheet2'!D68)),ABS(VALUE('Sheet2'!E69)-VALUE('Sheet2'!E68)),ABS(VALUE('Sheet2'!F69)-VALUE('Sheet2'!F68)),ABS(VALUE('Sheet2'!G69)-VALUE('Sheet2'!G68)),ABS(VALUE('Sheet2'!H69)-VALUE('Sheet2'!H68)),ABS(VALUE('Sheet2'!I69)-VALUE('Sheet2'!I68)),ABS(VALUE('Sheet2'!J69)-VALUE('Sheet2'!J68)),ABS(VALUE('Sheet2'!K69)-VALUE('Sheet2'!K68)),ABS(VALUE('Sheet2'!L69)-VALUE('Sheet2'!L68)),ABS(VALUE('Sheet2'!M69)-VALUE('Sheet2'!M68)),ABS(VALUE('Sheet2'!N69)-VALUE('Sheet2'!N68)),ABS(VALUE('Sheet2'!O69)-VALUE('Sheet2'!O68)),ABS(VALUE('Sheet2'!P69)-VALUE('Sheet2'!P68)))</x:f>
        <x:v>0.005500000000000005</x:v>
      </x:c>
      <x:c r="L69" t="n">
        <x:f>SUM(ABS(VALUE('Sheet2'!D69)-VALUE('Sheet2'!D68)),ABS(VALUE('Sheet2'!E69)-VALUE('Sheet2'!E68)),ABS(VALUE('Sheet2'!F69)-VALUE('Sheet2'!F68)),ABS(VALUE('Sheet2'!G69)-VALUE('Sheet2'!G68)),ABS(VALUE('Sheet2'!H69)-VALUE('Sheet2'!H68)),ABS(VALUE('Sheet2'!I69)-VALUE('Sheet2'!I68)),ABS(VALUE('Sheet2'!J69)-VALUE('Sheet2'!J68)),ABS(VALUE('Sheet2'!K69)-VALUE('Sheet2'!K68)),ABS(VALUE('Sheet2'!L69)-VALUE('Sheet2'!L68)),ABS(VALUE('Sheet2'!M69)-VALUE('Sheet2'!M68)),ABS(VALUE('Sheet2'!N69)-VALUE('Sheet2'!N68)),ABS(VALUE('Sheet2'!O69)-VALUE('Sheet2'!O68)),ABS(VALUE('Sheet2'!P69)-VALUE('Sheet2'!P68)))/2</x:f>
        <x:v>0.006200000000000004</x:v>
      </x:c>
      <x:c r="M69" t="n">
        <x:f>SUMSQ('Sheet2'!D69:P69)</x:f>
        <x:v>0.20602087</x:v>
      </x:c>
      <x:c r="N69" t="n">
        <x:f>VALUE('Sheet2'!D69)</x:f>
        <x:v>0.1313</x:v>
      </x:c>
    </x:row>
    <x:row r="70">
      <x:c r="A70" t="str">
        <x:f>'Sheet2'!A70</x:f>
        <x:v>2024-08-02</x:v>
      </x:c>
      <x:c r="B70" t="n">
        <x:f>VALUE('Sheet2'!B70)</x:f>
        <x:v>0.855</x:v>
      </x:c>
      <x:c r="C70" t="n">
        <x:f>VALUE('Sheet2'!C70)</x:f>
        <x:v>0.8595</x:v>
      </x:c>
      <x:c r="D70" t="n">
        <x:f>IFERROR(B70/B69-1,"")</x:f>
        <x:v>-0.0066225165562914245</x:v>
      </x:c>
      <x:c r="E70" t="n">
        <x:f>IFERROR(C70/C69-1,"")</x:f>
        <x:v>-0.016702894405674296</x:v>
      </x:c>
      <x:c r="F70" t="n">
        <x:f>IFERROR(D70-E70,"")</x:f>
        <x:v>0.010080377849382871</x:v>
      </x:c>
      <x:c r="G70" t="n">
        <x:f>MAX($B$2:B70)</x:f>
        <x:v>1.0115</x:v>
      </x:c>
      <x:c r="H70" t="n">
        <x:f>IFERROR(B70/G70-1,"")</x:f>
        <x:v>-0.1547207118141375</x:v>
      </x:c>
      <x:c r="I70" t="n">
        <x:f>MAX($C$2:C70)</x:f>
        <x:v>1.021</x:v>
      </x:c>
      <x:c r="J70" t="n">
        <x:f>IFERROR(C70/I70-1,"")</x:f>
        <x:v>-0.15817825661116536</x:v>
      </x:c>
      <x:c r="K70" t="n">
        <x:f>MAX(ABS(VALUE('Sheet2'!D70)-VALUE('Sheet2'!D69)),ABS(VALUE('Sheet2'!E70)-VALUE('Sheet2'!E69)),ABS(VALUE('Sheet2'!F70)-VALUE('Sheet2'!F69)),ABS(VALUE('Sheet2'!G70)-VALUE('Sheet2'!G69)),ABS(VALUE('Sheet2'!H70)-VALUE('Sheet2'!H69)),ABS(VALUE('Sheet2'!I70)-VALUE('Sheet2'!I69)),ABS(VALUE('Sheet2'!J70)-VALUE('Sheet2'!J69)),ABS(VALUE('Sheet2'!K70)-VALUE('Sheet2'!K69)),ABS(VALUE('Sheet2'!L70)-VALUE('Sheet2'!L69)),ABS(VALUE('Sheet2'!M70)-VALUE('Sheet2'!M69)),ABS(VALUE('Sheet2'!N70)-VALUE('Sheet2'!N69)),ABS(VALUE('Sheet2'!O70)-VALUE('Sheet2'!O69)),ABS(VALUE('Sheet2'!P70)-VALUE('Sheet2'!P69)))</x:f>
        <x:v>0.0024000000000000132</x:v>
      </x:c>
      <x:c r="L70" t="n">
        <x:f>SUM(ABS(VALUE('Sheet2'!D70)-VALUE('Sheet2'!D69)),ABS(VALUE('Sheet2'!E70)-VALUE('Sheet2'!E69)),ABS(VALUE('Sheet2'!F70)-VALUE('Sheet2'!F69)),ABS(VALUE('Sheet2'!G70)-VALUE('Sheet2'!G69)),ABS(VALUE('Sheet2'!H70)-VALUE('Sheet2'!H69)),ABS(VALUE('Sheet2'!I70)-VALUE('Sheet2'!I69)),ABS(VALUE('Sheet2'!J70)-VALUE('Sheet2'!J69)),ABS(VALUE('Sheet2'!K70)-VALUE('Sheet2'!K69)),ABS(VALUE('Sheet2'!L70)-VALUE('Sheet2'!L69)),ABS(VALUE('Sheet2'!M70)-VALUE('Sheet2'!M69)),ABS(VALUE('Sheet2'!N70)-VALUE('Sheet2'!N69)),ABS(VALUE('Sheet2'!O70)-VALUE('Sheet2'!O69)),ABS(VALUE('Sheet2'!P70)-VALUE('Sheet2'!P69)))/2</x:f>
        <x:v>0.004300000000000005</x:v>
      </x:c>
      <x:c r="M70" t="n">
        <x:f>SUMSQ('Sheet2'!D70:P70)</x:f>
        <x:v>0.20525010999999999</x:v>
      </x:c>
      <x:c r="N70" t="n">
        <x:f>VALUE('Sheet2'!D70)</x:f>
        <x:v>0.1321</x:v>
      </x:c>
    </x:row>
    <x:row r="71">
      <x:c r="A71" t="str">
        <x:f>'Sheet2'!A71</x:f>
        <x:v>2024-08-09</x:v>
      </x:c>
      <x:c r="B71" t="n">
        <x:f>VALUE('Sheet2'!B71)</x:f>
        <x:v>0.8501</x:v>
      </x:c>
      <x:c r="C71" t="n">
        <x:f>VALUE('Sheet2'!C71)</x:f>
        <x:v>0.8461</x:v>
      </x:c>
      <x:c r="D71" t="n">
        <x:f>IFERROR(B71/B70-1,"")</x:f>
        <x:v>-0.005730994152046809</x:v>
      </x:c>
      <x:c r="E71" t="n">
        <x:f>IFERROR(C71/C70-1,"")</x:f>
        <x:v>-0.015590459569517212</x:v>
      </x:c>
      <x:c r="F71" t="n">
        <x:f>IFERROR(D71-E71,"")</x:f>
        <x:v>0.009859465417470403</x:v>
      </x:c>
      <x:c r="G71" t="n">
        <x:f>MAX($B$2:B71)</x:f>
        <x:v>1.0115</x:v>
      </x:c>
      <x:c r="H71" t="n">
        <x:f>IFERROR(B71/G71-1,"")</x:f>
        <x:v>-0.1595650024715769</x:v>
      </x:c>
      <x:c r="I71" t="n">
        <x:f>MAX($C$2:C71)</x:f>
        <x:v>1.021</x:v>
      </x:c>
      <x:c r="J71" t="n">
        <x:f>IFERROR(C71/I71-1,"")</x:f>
        <x:v>-0.17130264446620957</x:v>
      </x:c>
      <x:c r="K71" t="n">
        <x:f>MAX(ABS(VALUE('Sheet2'!D71)-VALUE('Sheet2'!D70)),ABS(VALUE('Sheet2'!E71)-VALUE('Sheet2'!E70)),ABS(VALUE('Sheet2'!F71)-VALUE('Sheet2'!F70)),ABS(VALUE('Sheet2'!G71)-VALUE('Sheet2'!G70)),ABS(VALUE('Sheet2'!H71)-VALUE('Sheet2'!H70)),ABS(VALUE('Sheet2'!I71)-VALUE('Sheet2'!I70)),ABS(VALUE('Sheet2'!J71)-VALUE('Sheet2'!J70)),ABS(VALUE('Sheet2'!K71)-VALUE('Sheet2'!K70)),ABS(VALUE('Sheet2'!L71)-VALUE('Sheet2'!L70)),ABS(VALUE('Sheet2'!M71)-VALUE('Sheet2'!M70)),ABS(VALUE('Sheet2'!N71)-VALUE('Sheet2'!N70)),ABS(VALUE('Sheet2'!O71)-VALUE('Sheet2'!O70)),ABS(VALUE('Sheet2'!P71)-VALUE('Sheet2'!P70)))</x:f>
        <x:v>0.0588</x:v>
      </x:c>
      <x:c r="L71" t="n">
        <x:f>SUM(ABS(VALUE('Sheet2'!D71)-VALUE('Sheet2'!D70)),ABS(VALUE('Sheet2'!E71)-VALUE('Sheet2'!E70)),ABS(VALUE('Sheet2'!F71)-VALUE('Sheet2'!F70)),ABS(VALUE('Sheet2'!G71)-VALUE('Sheet2'!G70)),ABS(VALUE('Sheet2'!H71)-VALUE('Sheet2'!H70)),ABS(VALUE('Sheet2'!I71)-VALUE('Sheet2'!I70)),ABS(VALUE('Sheet2'!J71)-VALUE('Sheet2'!J70)),ABS(VALUE('Sheet2'!K71)-VALUE('Sheet2'!K70)),ABS(VALUE('Sheet2'!L71)-VALUE('Sheet2'!L70)),ABS(VALUE('Sheet2'!M71)-VALUE('Sheet2'!M70)),ABS(VALUE('Sheet2'!N71)-VALUE('Sheet2'!N70)),ABS(VALUE('Sheet2'!O71)-VALUE('Sheet2'!O70)),ABS(VALUE('Sheet2'!P71)-VALUE('Sheet2'!P70)))/2</x:f>
        <x:v>0.061749999999999985</x:v>
      </x:c>
      <x:c r="M71" t="n">
        <x:f>SUMSQ('Sheet2'!D71:P71)</x:f>
        <x:v>0.19525856</x:v>
      </x:c>
      <x:c r="N71" t="n">
        <x:f>VALUE('Sheet2'!D71)</x:f>
        <x:v>0.0737</x:v>
      </x:c>
    </x:row>
    <x:row r="72">
      <x:c r="A72" t="str">
        <x:f>'Sheet2'!A72</x:f>
        <x:v>2024-08-16</x:v>
      </x:c>
      <x:c r="B72" t="n">
        <x:f>VALUE('Sheet2'!B72)</x:f>
        <x:v>0.8545</x:v>
      </x:c>
      <x:c r="C72" t="n">
        <x:f>VALUE('Sheet2'!C72)</x:f>
        <x:v>0.8496</x:v>
      </x:c>
      <x:c r="D72" t="n">
        <x:f>IFERROR(B72/B71-1,"")</x:f>
        <x:v>0.005175861663333725</x:v>
      </x:c>
      <x:c r="E72" t="n">
        <x:f>IFERROR(C72/C71-1,"")</x:f>
        <x:v>0.004136626876255933</x:v>
      </x:c>
      <x:c r="F72" t="n">
        <x:f>IFERROR(D72-E72,"")</x:f>
        <x:v>0.0010392347870777918</x:v>
      </x:c>
      <x:c r="G72" t="n">
        <x:f>MAX($B$2:B72)</x:f>
        <x:v>1.0115</x:v>
      </x:c>
      <x:c r="H72" t="n">
        <x:f>IFERROR(B72/G72-1,"")</x:f>
        <x:v>-0.1552150271873456</x:v>
      </x:c>
      <x:c r="I72" t="n">
        <x:f>MAX($C$2:C72)</x:f>
        <x:v>1.021</x:v>
      </x:c>
      <x:c r="J72" t="n">
        <x:f>IFERROR(C72/I72-1,"")</x:f>
        <x:v>-0.16787463271302638</x:v>
      </x:c>
      <x:c r="K72" t="n">
        <x:f>MAX(ABS(VALUE('Sheet2'!D72)-VALUE('Sheet2'!D71)),ABS(VALUE('Sheet2'!E72)-VALUE('Sheet2'!E71)),ABS(VALUE('Sheet2'!F72)-VALUE('Sheet2'!F71)),ABS(VALUE('Sheet2'!G72)-VALUE('Sheet2'!G71)),ABS(VALUE('Sheet2'!H72)-VALUE('Sheet2'!H71)),ABS(VALUE('Sheet2'!I72)-VALUE('Sheet2'!I71)),ABS(VALUE('Sheet2'!J72)-VALUE('Sheet2'!J71)),ABS(VALUE('Sheet2'!K72)-VALUE('Sheet2'!K71)),ABS(VALUE('Sheet2'!L72)-VALUE('Sheet2'!L71)),ABS(VALUE('Sheet2'!M72)-VALUE('Sheet2'!M71)),ABS(VALUE('Sheet2'!N72)-VALUE('Sheet2'!N71)),ABS(VALUE('Sheet2'!O72)-VALUE('Sheet2'!O71)),ABS(VALUE('Sheet2'!P72)-VALUE('Sheet2'!P71)))</x:f>
        <x:v>0.024</x:v>
      </x:c>
      <x:c r="L72" t="n">
        <x:f>SUM(ABS(VALUE('Sheet2'!D72)-VALUE('Sheet2'!D71)),ABS(VALUE('Sheet2'!E72)-VALUE('Sheet2'!E71)),ABS(VALUE('Sheet2'!F72)-VALUE('Sheet2'!F71)),ABS(VALUE('Sheet2'!G72)-VALUE('Sheet2'!G71)),ABS(VALUE('Sheet2'!H72)-VALUE('Sheet2'!H71)),ABS(VALUE('Sheet2'!I72)-VALUE('Sheet2'!I71)),ABS(VALUE('Sheet2'!J72)-VALUE('Sheet2'!J71)),ABS(VALUE('Sheet2'!K72)-VALUE('Sheet2'!K71)),ABS(VALUE('Sheet2'!L72)-VALUE('Sheet2'!L71)),ABS(VALUE('Sheet2'!M72)-VALUE('Sheet2'!M71)),ABS(VALUE('Sheet2'!N72)-VALUE('Sheet2'!N71)),ABS(VALUE('Sheet2'!O72)-VALUE('Sheet2'!O71)),ABS(VALUE('Sheet2'!P72)-VALUE('Sheet2'!P71)))/2</x:f>
        <x:v>0.025249999999999974</x:v>
      </x:c>
      <x:c r="M72" t="n">
        <x:f>SUMSQ('Sheet2'!D72:P72)</x:f>
        <x:v>0.19818117000000005</x:v>
      </x:c>
      <x:c r="N72" t="n">
        <x:f>VALUE('Sheet2'!D72)</x:f>
        <x:v>0.0497</x:v>
      </x:c>
    </x:row>
    <x:row r="73">
      <x:c r="A73" t="str">
        <x:f>'Sheet2'!A73</x:f>
        <x:v>2024-08-23</x:v>
      </x:c>
      <x:c r="B73" t="n">
        <x:f>VALUE('Sheet2'!B73)</x:f>
        <x:v>0.8474</x:v>
      </x:c>
      <x:c r="C73" t="n">
        <x:f>VALUE('Sheet2'!C73)</x:f>
        <x:v>0.8449</x:v>
      </x:c>
      <x:c r="D73" t="n">
        <x:f>IFERROR(B73/B72-1,"")</x:f>
        <x:v>-0.008308952603861885</x:v>
      </x:c>
      <x:c r="E73" t="n">
        <x:f>IFERROR(C73/C72-1,"")</x:f>
        <x:v>-0.005532015065913387</x:v>
      </x:c>
      <x:c r="F73" t="n">
        <x:f>IFERROR(D73-E73,"")</x:f>
        <x:v>-0.0027769375379484984</x:v>
      </x:c>
      <x:c r="G73" t="n">
        <x:f>MAX($B$2:B73)</x:f>
        <x:v>1.0115</x:v>
      </x:c>
      <x:c r="H73" t="n">
        <x:f>IFERROR(B73/G73-1,"")</x:f>
        <x:v>-0.16223430548690065</x:v>
      </x:c>
      <x:c r="I73" t="n">
        <x:f>MAX($C$2:C73)</x:f>
        <x:v>1.021</x:v>
      </x:c>
      <x:c r="J73" t="n">
        <x:f>IFERROR(C73/I73-1,"")</x:f>
        <x:v>-0.17247796278158667</x:v>
      </x:c>
      <x:c r="K73" t="n">
        <x:f>MAX(ABS(VALUE('Sheet2'!D73)-VALUE('Sheet2'!D72)),ABS(VALUE('Sheet2'!E73)-VALUE('Sheet2'!E72)),ABS(VALUE('Sheet2'!F73)-VALUE('Sheet2'!F72)),ABS(VALUE('Sheet2'!G73)-VALUE('Sheet2'!G72)),ABS(VALUE('Sheet2'!H73)-VALUE('Sheet2'!H72)),ABS(VALUE('Sheet2'!I73)-VALUE('Sheet2'!I72)),ABS(VALUE('Sheet2'!J73)-VALUE('Sheet2'!J72)),ABS(VALUE('Sheet2'!K73)-VALUE('Sheet2'!K72)),ABS(VALUE('Sheet2'!L73)-VALUE('Sheet2'!L72)),ABS(VALUE('Sheet2'!M73)-VALUE('Sheet2'!M72)),ABS(VALUE('Sheet2'!N73)-VALUE('Sheet2'!N72)),ABS(VALUE('Sheet2'!O73)-VALUE('Sheet2'!O72)),ABS(VALUE('Sheet2'!P73)-VALUE('Sheet2'!P72)))</x:f>
        <x:v>0.004200000000000037</x:v>
      </x:c>
      <x:c r="L73" t="n">
        <x:f>SUM(ABS(VALUE('Sheet2'!D73)-VALUE('Sheet2'!D72)),ABS(VALUE('Sheet2'!E73)-VALUE('Sheet2'!E72)),ABS(VALUE('Sheet2'!F73)-VALUE('Sheet2'!F72)),ABS(VALUE('Sheet2'!G73)-VALUE('Sheet2'!G72)),ABS(VALUE('Sheet2'!H73)-VALUE('Sheet2'!H72)),ABS(VALUE('Sheet2'!I73)-VALUE('Sheet2'!I72)),ABS(VALUE('Sheet2'!J73)-VALUE('Sheet2'!J72)),ABS(VALUE('Sheet2'!K73)-VALUE('Sheet2'!K72)),ABS(VALUE('Sheet2'!L73)-VALUE('Sheet2'!L72)),ABS(VALUE('Sheet2'!M73)-VALUE('Sheet2'!M72)),ABS(VALUE('Sheet2'!N73)-VALUE('Sheet2'!N72)),ABS(VALUE('Sheet2'!O73)-VALUE('Sheet2'!O72)),ABS(VALUE('Sheet2'!P73)-VALUE('Sheet2'!P72)))/2</x:f>
        <x:v>0.004150000000000025</x:v>
      </x:c>
      <x:c r="M73" t="n">
        <x:f>SUMSQ('Sheet2'!D73:P73)</x:f>
        <x:v>0.1965368</x:v>
      </x:c>
      <x:c r="N73" t="n">
        <x:f>VALUE('Sheet2'!D73)</x:f>
        <x:v>0.0498</x:v>
      </x:c>
    </x:row>
    <x:row r="74">
      <x:c r="A74" t="str">
        <x:f>'Sheet2'!A74</x:f>
        <x:v>2024-08-30</x:v>
      </x:c>
      <x:c r="B74" t="n">
        <x:f>VALUE('Sheet2'!B74)</x:f>
        <x:v>0.8475</x:v>
      </x:c>
      <x:c r="C74" t="n">
        <x:f>VALUE('Sheet2'!C74)</x:f>
        <x:v>0.8435</x:v>
      </x:c>
      <x:c r="D74" t="n">
        <x:f>IFERROR(B74/B73-1,"")</x:f>
        <x:v>0.0001180080245457571</x:v>
      </x:c>
      <x:c r="E74" t="n">
        <x:f>IFERROR(C74/C73-1,"")</x:f>
        <x:v>-0.001657000828500399</x:v>
      </x:c>
      <x:c r="F74" t="n">
        <x:f>IFERROR(D74-E74,"")</x:f>
        <x:v>0.001775008853046156</x:v>
      </x:c>
      <x:c r="G74" t="n">
        <x:f>MAX($B$2:B74)</x:f>
        <x:v>1.0115</x:v>
      </x:c>
      <x:c r="H74" t="n">
        <x:f>IFERROR(B74/G74-1,"")</x:f>
        <x:v>-0.16213544241225908</x:v>
      </x:c>
      <x:c r="I74" t="n">
        <x:f>MAX($C$2:C74)</x:f>
        <x:v>1.021</x:v>
      </x:c>
      <x:c r="J74" t="n">
        <x:f>IFERROR(C74/I74-1,"")</x:f>
        <x:v>-0.17384916748285983</x:v>
      </x:c>
      <x:c r="K74" t="n">
        <x:f>MAX(ABS(VALUE('Sheet2'!D74)-VALUE('Sheet2'!D73)),ABS(VALUE('Sheet2'!E74)-VALUE('Sheet2'!E73)),ABS(VALUE('Sheet2'!F74)-VALUE('Sheet2'!F73)),ABS(VALUE('Sheet2'!G74)-VALUE('Sheet2'!G73)),ABS(VALUE('Sheet2'!H74)-VALUE('Sheet2'!H73)),ABS(VALUE('Sheet2'!I74)-VALUE('Sheet2'!I73)),ABS(VALUE('Sheet2'!J74)-VALUE('Sheet2'!J73)),ABS(VALUE('Sheet2'!K74)-VALUE('Sheet2'!K73)),ABS(VALUE('Sheet2'!L74)-VALUE('Sheet2'!L73)),ABS(VALUE('Sheet2'!M74)-VALUE('Sheet2'!M73)),ABS(VALUE('Sheet2'!N74)-VALUE('Sheet2'!N73)),ABS(VALUE('Sheet2'!O74)-VALUE('Sheet2'!O73)),ABS(VALUE('Sheet2'!P74)-VALUE('Sheet2'!P73)))</x:f>
        <x:v>0.10760000000000002</x:v>
      </x:c>
      <x:c r="L74" t="n">
        <x:f>SUM(ABS(VALUE('Sheet2'!D74)-VALUE('Sheet2'!D73)),ABS(VALUE('Sheet2'!E74)-VALUE('Sheet2'!E73)),ABS(VALUE('Sheet2'!F74)-VALUE('Sheet2'!F73)),ABS(VALUE('Sheet2'!G74)-VALUE('Sheet2'!G73)),ABS(VALUE('Sheet2'!H74)-VALUE('Sheet2'!H73)),ABS(VALUE('Sheet2'!I74)-VALUE('Sheet2'!I73)),ABS(VALUE('Sheet2'!J74)-VALUE('Sheet2'!J73)),ABS(VALUE('Sheet2'!K74)-VALUE('Sheet2'!K73)),ABS(VALUE('Sheet2'!L74)-VALUE('Sheet2'!L73)),ABS(VALUE('Sheet2'!M74)-VALUE('Sheet2'!M73)),ABS(VALUE('Sheet2'!N74)-VALUE('Sheet2'!N73)),ABS(VALUE('Sheet2'!O74)-VALUE('Sheet2'!O73)),ABS(VALUE('Sheet2'!P74)-VALUE('Sheet2'!P73)))/2</x:f>
        <x:v>0.10830000000000001</x:v>
      </x:c>
      <x:c r="M74" t="n">
        <x:f>SUMSQ('Sheet2'!D74:P74)</x:f>
        <x:v>0.16083835999999999</x:v>
      </x:c>
      <x:c r="N74" t="n">
        <x:f>VALUE('Sheet2'!D74)</x:f>
        <x:v>0.1574</x:v>
      </x:c>
    </x:row>
    <x:row r="75">
      <x:c r="A75" t="str">
        <x:f>'Sheet2'!A75</x:f>
        <x:v>2024-09-06</x:v>
      </x:c>
      <x:c r="B75" t="n">
        <x:f>VALUE('Sheet2'!B75)</x:f>
        <x:v>0.8408</x:v>
      </x:c>
      <x:c r="C75" t="n">
        <x:f>VALUE('Sheet2'!C75)</x:f>
        <x:v>0.8206</x:v>
      </x:c>
      <x:c r="D75" t="n">
        <x:f>IFERROR(B75/B74-1,"")</x:f>
        <x:v>-0.007905604719764092</x:v>
      </x:c>
      <x:c r="E75" t="n">
        <x:f>IFERROR(C75/C74-1,"")</x:f>
        <x:v>-0.027148784825133387</x:v>
      </x:c>
      <x:c r="F75" t="n">
        <x:f>IFERROR(D75-E75,"")</x:f>
        <x:v>0.019243180105369295</x:v>
      </x:c>
      <x:c r="G75" t="n">
        <x:f>MAX($B$2:B75)</x:f>
        <x:v>1.0115</x:v>
      </x:c>
      <x:c r="H75" t="n">
        <x:f>IFERROR(B75/G75-1,"")</x:f>
        <x:v>-0.16875926841324773</x:v>
      </x:c>
      <x:c r="I75" t="n">
        <x:f>MAX($C$2:C75)</x:f>
        <x:v>1.021</x:v>
      </x:c>
      <x:c r="J75" t="n">
        <x:f>IFERROR(C75/I75-1,"")</x:f>
        <x:v>-0.1962781586679725</x:v>
      </x:c>
      <x:c r="K75" t="n">
        <x:f>MAX(ABS(VALUE('Sheet2'!D75)-VALUE('Sheet2'!D74)),ABS(VALUE('Sheet2'!E75)-VALUE('Sheet2'!E74)),ABS(VALUE('Sheet2'!F75)-VALUE('Sheet2'!F74)),ABS(VALUE('Sheet2'!G75)-VALUE('Sheet2'!G74)),ABS(VALUE('Sheet2'!H75)-VALUE('Sheet2'!H74)),ABS(VALUE('Sheet2'!I75)-VALUE('Sheet2'!I74)),ABS(VALUE('Sheet2'!J75)-VALUE('Sheet2'!J74)),ABS(VALUE('Sheet2'!K75)-VALUE('Sheet2'!K74)),ABS(VALUE('Sheet2'!L75)-VALUE('Sheet2'!L74)),ABS(VALUE('Sheet2'!M75)-VALUE('Sheet2'!M74)),ABS(VALUE('Sheet2'!N75)-VALUE('Sheet2'!N74)),ABS(VALUE('Sheet2'!O75)-VALUE('Sheet2'!O74)),ABS(VALUE('Sheet2'!P75)-VALUE('Sheet2'!P74)))</x:f>
        <x:v>0.0032999999999999974</x:v>
      </x:c>
      <x:c r="L75" t="n">
        <x:f>SUM(ABS(VALUE('Sheet2'!D75)-VALUE('Sheet2'!D74)),ABS(VALUE('Sheet2'!E75)-VALUE('Sheet2'!E74)),ABS(VALUE('Sheet2'!F75)-VALUE('Sheet2'!F74)),ABS(VALUE('Sheet2'!G75)-VALUE('Sheet2'!G74)),ABS(VALUE('Sheet2'!H75)-VALUE('Sheet2'!H74)),ABS(VALUE('Sheet2'!I75)-VALUE('Sheet2'!I74)),ABS(VALUE('Sheet2'!J75)-VALUE('Sheet2'!J74)),ABS(VALUE('Sheet2'!K75)-VALUE('Sheet2'!K74)),ABS(VALUE('Sheet2'!L75)-VALUE('Sheet2'!L74)),ABS(VALUE('Sheet2'!M75)-VALUE('Sheet2'!M74)),ABS(VALUE('Sheet2'!N75)-VALUE('Sheet2'!N74)),ABS(VALUE('Sheet2'!O75)-VALUE('Sheet2'!O74)),ABS(VALUE('Sheet2'!P75)-VALUE('Sheet2'!P74)))/2</x:f>
        <x:v>0.005749999999999984</x:v>
      </x:c>
      <x:c r="M75" t="n">
        <x:f>SUMSQ('Sheet2'!D75:P75)</x:f>
        <x:v>0.16034257000000002</x:v>
      </x:c>
      <x:c r="N75" t="n">
        <x:f>VALUE('Sheet2'!D75)</x:f>
        <x:v>0.1583</x:v>
      </x:c>
    </x:row>
    <x:row r="76">
      <x:c r="A76" t="str">
        <x:f>'Sheet2'!A76</x:f>
        <x:v>2024-09-13</x:v>
      </x:c>
      <x:c r="B76" t="n">
        <x:f>VALUE('Sheet2'!B76)</x:f>
        <x:v>0.837</x:v>
      </x:c>
      <x:c r="C76" t="n">
        <x:f>VALUE('Sheet2'!C76)</x:f>
        <x:v>0.8023</x:v>
      </x:c>
      <x:c r="D76" t="n">
        <x:f>IFERROR(B76/B75-1,"")</x:f>
        <x:v>-0.004519505233111398</x:v>
      </x:c>
      <x:c r="E76" t="n">
        <x:f>IFERROR(C76/C75-1,"")</x:f>
        <x:v>-0.022300755544723327</x:v>
      </x:c>
      <x:c r="F76" t="n">
        <x:f>IFERROR(D76-E76,"")</x:f>
        <x:v>0.01778125031161193</x:v>
      </x:c>
      <x:c r="G76" t="n">
        <x:f>MAX($B$2:B76)</x:f>
        <x:v>1.0115</x:v>
      </x:c>
      <x:c r="H76" t="n">
        <x:f>IFERROR(B76/G76-1,"")</x:f>
        <x:v>-0.17251606524962937</x:v>
      </x:c>
      <x:c r="I76" t="n">
        <x:f>MAX($C$2:C76)</x:f>
        <x:v>1.021</x:v>
      </x:c>
      <x:c r="J76" t="n">
        <x:f>IFERROR(C76/I76-1,"")</x:f>
        <x:v>-0.21420176297747295</x:v>
      </x:c>
      <x:c r="K76" t="n">
        <x:f>MAX(ABS(VALUE('Sheet2'!D76)-VALUE('Sheet2'!D75)),ABS(VALUE('Sheet2'!E76)-VALUE('Sheet2'!E75)),ABS(VALUE('Sheet2'!F76)-VALUE('Sheet2'!F75)),ABS(VALUE('Sheet2'!G76)-VALUE('Sheet2'!G75)),ABS(VALUE('Sheet2'!H76)-VALUE('Sheet2'!H75)),ABS(VALUE('Sheet2'!I76)-VALUE('Sheet2'!I75)),ABS(VALUE('Sheet2'!J76)-VALUE('Sheet2'!J75)),ABS(VALUE('Sheet2'!K76)-VALUE('Sheet2'!K75)),ABS(VALUE('Sheet2'!L76)-VALUE('Sheet2'!L75)),ABS(VALUE('Sheet2'!M76)-VALUE('Sheet2'!M75)),ABS(VALUE('Sheet2'!N76)-VALUE('Sheet2'!N75)),ABS(VALUE('Sheet2'!O76)-VALUE('Sheet2'!O75)),ABS(VALUE('Sheet2'!P76)-VALUE('Sheet2'!P75)))</x:f>
        <x:v>0.1011</x:v>
      </x:c>
      <x:c r="L76" t="n">
        <x:f>SUM(ABS(VALUE('Sheet2'!D76)-VALUE('Sheet2'!D75)),ABS(VALUE('Sheet2'!E76)-VALUE('Sheet2'!E75)),ABS(VALUE('Sheet2'!F76)-VALUE('Sheet2'!F75)),ABS(VALUE('Sheet2'!G76)-VALUE('Sheet2'!G75)),ABS(VALUE('Sheet2'!H76)-VALUE('Sheet2'!H75)),ABS(VALUE('Sheet2'!I76)-VALUE('Sheet2'!I75)),ABS(VALUE('Sheet2'!J76)-VALUE('Sheet2'!J75)),ABS(VALUE('Sheet2'!K76)-VALUE('Sheet2'!K75)),ABS(VALUE('Sheet2'!L76)-VALUE('Sheet2'!L75)),ABS(VALUE('Sheet2'!M76)-VALUE('Sheet2'!M75)),ABS(VALUE('Sheet2'!N76)-VALUE('Sheet2'!N75)),ABS(VALUE('Sheet2'!O76)-VALUE('Sheet2'!O75)),ABS(VALUE('Sheet2'!P76)-VALUE('Sheet2'!P75)))/2</x:f>
        <x:v>0.10485</x:v>
      </x:c>
      <x:c r="M76" t="n">
        <x:f>SUMSQ('Sheet2'!D76:P76)</x:f>
        <x:v>0.16329046000000003</x:v>
      </x:c>
      <x:c r="N76" t="n">
        <x:f>VALUE('Sheet2'!D76)</x:f>
        <x:v>0.0572</x:v>
      </x:c>
    </x:row>
    <x:row r="77">
      <x:c r="A77" t="str">
        <x:f>'Sheet2'!A77</x:f>
        <x:v>2024-09-20</x:v>
      </x:c>
      <x:c r="B77" t="n">
        <x:f>VALUE('Sheet2'!B77)</x:f>
        <x:v>0.8452</x:v>
      </x:c>
      <x:c r="C77" t="n">
        <x:f>VALUE('Sheet2'!C77)</x:f>
        <x:v>0.8129</x:v>
      </x:c>
      <x:c r="D77" t="n">
        <x:f>IFERROR(B77/B76-1,"")</x:f>
        <x:v>0.009796893667861406</x:v>
      </x:c>
      <x:c r="E77" t="n">
        <x:f>IFERROR(C77/C76-1,"")</x:f>
        <x:v>0.013212015455565274</x:v>
      </x:c>
      <x:c r="F77" t="n">
        <x:f>IFERROR(D77-E77,"")</x:f>
        <x:v>-0.0034151217877038675</x:v>
      </x:c>
      <x:c r="G77" t="n">
        <x:f>MAX($B$2:B77)</x:f>
        <x:v>1.0115</x:v>
      </x:c>
      <x:c r="H77" t="n">
        <x:f>IFERROR(B77/G77-1,"")</x:f>
        <x:v>-0.16440929312901642</x:v>
      </x:c>
      <x:c r="I77" t="n">
        <x:f>MAX($C$2:C77)</x:f>
        <x:v>1.021</x:v>
      </x:c>
      <x:c r="J77" t="n">
        <x:f>IFERROR(C77/I77-1,"")</x:f>
        <x:v>-0.2038197845249755</x:v>
      </x:c>
      <x:c r="K77" t="n">
        <x:f>MAX(ABS(VALUE('Sheet2'!D77)-VALUE('Sheet2'!D76)),ABS(VALUE('Sheet2'!E77)-VALUE('Sheet2'!E76)),ABS(VALUE('Sheet2'!F77)-VALUE('Sheet2'!F76)),ABS(VALUE('Sheet2'!G77)-VALUE('Sheet2'!G76)),ABS(VALUE('Sheet2'!H77)-VALUE('Sheet2'!H76)),ABS(VALUE('Sheet2'!I77)-VALUE('Sheet2'!I76)),ABS(VALUE('Sheet2'!J77)-VALUE('Sheet2'!J76)),ABS(VALUE('Sheet2'!K77)-VALUE('Sheet2'!K76)),ABS(VALUE('Sheet2'!L77)-VALUE('Sheet2'!L76)),ABS(VALUE('Sheet2'!M77)-VALUE('Sheet2'!M76)),ABS(VALUE('Sheet2'!N77)-VALUE('Sheet2'!N76)),ABS(VALUE('Sheet2'!O77)-VALUE('Sheet2'!O76)),ABS(VALUE('Sheet2'!P77)-VALUE('Sheet2'!P76)))</x:f>
        <x:v>0.11610000000000001</x:v>
      </x:c>
      <x:c r="L77" t="n">
        <x:f>SUM(ABS(VALUE('Sheet2'!D77)-VALUE('Sheet2'!D76)),ABS(VALUE('Sheet2'!E77)-VALUE('Sheet2'!E76)),ABS(VALUE('Sheet2'!F77)-VALUE('Sheet2'!F76)),ABS(VALUE('Sheet2'!G77)-VALUE('Sheet2'!G76)),ABS(VALUE('Sheet2'!H77)-VALUE('Sheet2'!H76)),ABS(VALUE('Sheet2'!I77)-VALUE('Sheet2'!I76)),ABS(VALUE('Sheet2'!J77)-VALUE('Sheet2'!J76)),ABS(VALUE('Sheet2'!K77)-VALUE('Sheet2'!K76)),ABS(VALUE('Sheet2'!L77)-VALUE('Sheet2'!L76)),ABS(VALUE('Sheet2'!M77)-VALUE('Sheet2'!M76)),ABS(VALUE('Sheet2'!N77)-VALUE('Sheet2'!N76)),ABS(VALUE('Sheet2'!O77)-VALUE('Sheet2'!O76)),ABS(VALUE('Sheet2'!P77)-VALUE('Sheet2'!P76)))/2</x:f>
        <x:v>0.11729999999999999</x:v>
      </x:c>
      <x:c r="M77" t="n">
        <x:f>SUMSQ('Sheet2'!D77:P77)</x:f>
        <x:v>0.15319661999999998</x:v>
      </x:c>
      <x:c r="N77" t="n">
        <x:f>VALUE('Sheet2'!D77)</x:f>
        <x:v>0.1346</x:v>
      </x:c>
    </x:row>
    <x:row r="78">
      <x:c r="A78" t="str">
        <x:f>'Sheet2'!A78</x:f>
        <x:v>2024-09-27</x:v>
      </x:c>
      <x:c r="B78" t="n">
        <x:f>VALUE('Sheet2'!B78)</x:f>
        <x:v>0.8805</x:v>
      </x:c>
      <x:c r="C78" t="n">
        <x:f>VALUE('Sheet2'!C78)</x:f>
        <x:v>0.9406</x:v>
      </x:c>
      <x:c r="D78" t="n">
        <x:f>IFERROR(B78/B77-1,"")</x:f>
        <x:v>0.04176526265972558</x:v>
      </x:c>
      <x:c r="E78" t="n">
        <x:f>IFERROR(C78/C77-1,"")</x:f>
        <x:v>0.15709189322179862</x:v>
      </x:c>
      <x:c r="F78" t="n">
        <x:f>IFERROR(D78-E78,"")</x:f>
        <x:v>-0.11532663056207304</x:v>
      </x:c>
      <x:c r="G78" t="n">
        <x:f>MAX($B$2:B78)</x:f>
        <x:v>1.0115</x:v>
      </x:c>
      <x:c r="H78" t="n">
        <x:f>IFERROR(B78/G78-1,"")</x:f>
        <x:v>-0.12951062778052413</x:v>
      </x:c>
      <x:c r="I78" t="n">
        <x:f>MAX($C$2:C78)</x:f>
        <x:v>1.021</x:v>
      </x:c>
      <x:c r="J78" t="n">
        <x:f>IFERROR(C78/I78-1,"")</x:f>
        <x:v>-0.07874632713026442</x:v>
      </x:c>
      <x:c r="K78" t="n">
        <x:f>MAX(ABS(VALUE('Sheet2'!D78)-VALUE('Sheet2'!D77)),ABS(VALUE('Sheet2'!E78)-VALUE('Sheet2'!E77)),ABS(VALUE('Sheet2'!F78)-VALUE('Sheet2'!F77)),ABS(VALUE('Sheet2'!G78)-VALUE('Sheet2'!G77)),ABS(VALUE('Sheet2'!H78)-VALUE('Sheet2'!H77)),ABS(VALUE('Sheet2'!I78)-VALUE('Sheet2'!I77)),ABS(VALUE('Sheet2'!J78)-VALUE('Sheet2'!J77)),ABS(VALUE('Sheet2'!K78)-VALUE('Sheet2'!K77)),ABS(VALUE('Sheet2'!L78)-VALUE('Sheet2'!L77)),ABS(VALUE('Sheet2'!M78)-VALUE('Sheet2'!M77)),ABS(VALUE('Sheet2'!N78)-VALUE('Sheet2'!N77)),ABS(VALUE('Sheet2'!O78)-VALUE('Sheet2'!O77)),ABS(VALUE('Sheet2'!P78)-VALUE('Sheet2'!P77)))</x:f>
        <x:v>0.020600000000000007</x:v>
      </x:c>
      <x:c r="L78" t="n">
        <x:f>SUM(ABS(VALUE('Sheet2'!D78)-VALUE('Sheet2'!D77)),ABS(VALUE('Sheet2'!E78)-VALUE('Sheet2'!E77)),ABS(VALUE('Sheet2'!F78)-VALUE('Sheet2'!F77)),ABS(VALUE('Sheet2'!G78)-VALUE('Sheet2'!G77)),ABS(VALUE('Sheet2'!H78)-VALUE('Sheet2'!H77)),ABS(VALUE('Sheet2'!I78)-VALUE('Sheet2'!I77)),ABS(VALUE('Sheet2'!J78)-VALUE('Sheet2'!J77)),ABS(VALUE('Sheet2'!K78)-VALUE('Sheet2'!K77)),ABS(VALUE('Sheet2'!L78)-VALUE('Sheet2'!L77)),ABS(VALUE('Sheet2'!M78)-VALUE('Sheet2'!M77)),ABS(VALUE('Sheet2'!N78)-VALUE('Sheet2'!N77)),ABS(VALUE('Sheet2'!O78)-VALUE('Sheet2'!O77)),ABS(VALUE('Sheet2'!P78)-VALUE('Sheet2'!P77)))/2</x:f>
        <x:v>0.03609999999999999</x:v>
      </x:c>
      <x:c r="M78" t="n">
        <x:f>SUMSQ('Sheet2'!D78:P78)</x:f>
        <x:v>0.15491328</x:v>
      </x:c>
      <x:c r="N78" t="n">
        <x:f>VALUE('Sheet2'!D78)</x:f>
        <x:v>0.129</x:v>
      </x:c>
    </x:row>
    <x:row r="79">
      <x:c r="A79" t="str">
        <x:f>'Sheet2'!A79</x:f>
        <x:v>2024-09-30</x:v>
      </x:c>
      <x:c r="B79" t="n">
        <x:f>VALUE('Sheet2'!B79)</x:f>
        <x:v>0.9005</x:v>
      </x:c>
      <x:c r="C79" t="n">
        <x:f>VALUE('Sheet2'!C79)</x:f>
        <x:v>1.0203</x:v>
      </x:c>
      <x:c r="D79" t="n">
        <x:f>IFERROR(B79/B78-1,"")</x:f>
        <x:v>0.022714366837024436</x:v>
      </x:c>
      <x:c r="E79" t="n">
        <x:f>IFERROR(C79/C78-1,"")</x:f>
        <x:v>0.08473314905379548</x:v>
      </x:c>
      <x:c r="F79" t="n">
        <x:f>IFERROR(D79-E79,"")</x:f>
        <x:v>-0.06201878221677104</x:v>
      </x:c>
      <x:c r="G79" t="n">
        <x:f>MAX($B$2:B79)</x:f>
        <x:v>1.0115</x:v>
      </x:c>
      <x:c r="H79" t="n">
        <x:f>IFERROR(B79/G79-1,"")</x:f>
        <x:v>-0.10973801285219975</x:v>
      </x:c>
      <x:c r="I79" t="n">
        <x:f>MAX($C$2:C79)</x:f>
        <x:v>1.021</x:v>
      </x:c>
      <x:c r="J79" t="n">
        <x:f>IFERROR(C79/I79-1,"")</x:f>
        <x:v>-0.0006856023506365272</x:v>
      </x:c>
      <x:c r="K79" t="n">
        <x:f>MAX(ABS(VALUE('Sheet2'!D79)-VALUE('Sheet2'!D78)),ABS(VALUE('Sheet2'!E79)-VALUE('Sheet2'!E78)),ABS(VALUE('Sheet2'!F79)-VALUE('Sheet2'!F78)),ABS(VALUE('Sheet2'!G79)-VALUE('Sheet2'!G78)),ABS(VALUE('Sheet2'!H79)-VALUE('Sheet2'!H78)),ABS(VALUE('Sheet2'!I79)-VALUE('Sheet2'!I78)),ABS(VALUE('Sheet2'!J79)-VALUE('Sheet2'!J78)),ABS(VALUE('Sheet2'!K79)-VALUE('Sheet2'!K78)),ABS(VALUE('Sheet2'!L79)-VALUE('Sheet2'!L78)),ABS(VALUE('Sheet2'!M79)-VALUE('Sheet2'!M78)),ABS(VALUE('Sheet2'!N79)-VALUE('Sheet2'!N78)),ABS(VALUE('Sheet2'!O79)-VALUE('Sheet2'!O78)),ABS(VALUE('Sheet2'!P79)-VALUE('Sheet2'!P78)))</x:f>
        <x:v>0.011099999999999999</x:v>
      </x:c>
      <x:c r="L79" t="n">
        <x:f>SUM(ABS(VALUE('Sheet2'!D79)-VALUE('Sheet2'!D78)),ABS(VALUE('Sheet2'!E79)-VALUE('Sheet2'!E78)),ABS(VALUE('Sheet2'!F79)-VALUE('Sheet2'!F78)),ABS(VALUE('Sheet2'!G79)-VALUE('Sheet2'!G78)),ABS(VALUE('Sheet2'!H79)-VALUE('Sheet2'!H78)),ABS(VALUE('Sheet2'!I79)-VALUE('Sheet2'!I78)),ABS(VALUE('Sheet2'!J79)-VALUE('Sheet2'!J78)),ABS(VALUE('Sheet2'!K79)-VALUE('Sheet2'!K78)),ABS(VALUE('Sheet2'!L79)-VALUE('Sheet2'!L78)),ABS(VALUE('Sheet2'!M79)-VALUE('Sheet2'!M78)),ABS(VALUE('Sheet2'!N79)-VALUE('Sheet2'!N78)),ABS(VALUE('Sheet2'!O79)-VALUE('Sheet2'!O78)),ABS(VALUE('Sheet2'!P79)-VALUE('Sheet2'!P78)))/2</x:f>
        <x:v>0.016050000000000016</x:v>
      </x:c>
      <x:c r="M79" t="n">
        <x:f>SUMSQ('Sheet2'!D79:P79)</x:f>
        <x:v>0.15663718999999998</x:v>
      </x:c>
      <x:c r="N79" t="n">
        <x:f>VALUE('Sheet2'!D79)</x:f>
        <x:v>0.126</x:v>
      </x:c>
    </x:row>
    <x:row r="80">
      <x:c r="A80" t="str">
        <x:f>'Sheet2'!A80</x:f>
        <x:v>2024-10-11</x:v>
      </x:c>
      <x:c r="B80" t="n">
        <x:f>VALUE('Sheet2'!B80)</x:f>
        <x:v>0.894</x:v>
      </x:c>
      <x:c r="C80" t="n">
        <x:f>VALUE('Sheet2'!C80)</x:f>
        <x:v>0.9872</x:v>
      </x:c>
      <x:c r="D80" t="n">
        <x:f>IFERROR(B80/B79-1,"")</x:f>
        <x:v>-0.0072182121043864456</x:v>
      </x:c>
      <x:c r="E80" t="n">
        <x:f>IFERROR(C80/C79-1,"")</x:f>
        <x:v>-0.032441438792512045</x:v>
      </x:c>
      <x:c r="F80" t="n">
        <x:f>IFERROR(D80-E80,"")</x:f>
        <x:v>0.0252232266881256</x:v>
      </x:c>
      <x:c r="G80" t="n">
        <x:f>MAX($B$2:B80)</x:f>
        <x:v>1.0115</x:v>
      </x:c>
      <x:c r="H80" t="n">
        <x:f>IFERROR(B80/G80-1,"")</x:f>
        <x:v>-0.11616411270390514</x:v>
      </x:c>
      <x:c r="I80" t="n">
        <x:f>MAX($C$2:C80)</x:f>
        <x:v>1.021</x:v>
      </x:c>
      <x:c r="J80" t="n">
        <x:f>IFERROR(C80/I80-1,"")</x:f>
        <x:v>-0.03310479921645437</x:v>
      </x:c>
      <x:c r="K80" t="n">
        <x:f>MAX(ABS(VALUE('Sheet2'!D80)-VALUE('Sheet2'!D79)),ABS(VALUE('Sheet2'!E80)-VALUE('Sheet2'!E79)),ABS(VALUE('Sheet2'!F80)-VALUE('Sheet2'!F79)),ABS(VALUE('Sheet2'!G80)-VALUE('Sheet2'!G79)),ABS(VALUE('Sheet2'!H80)-VALUE('Sheet2'!H79)),ABS(VALUE('Sheet2'!I80)-VALUE('Sheet2'!I79)),ABS(VALUE('Sheet2'!J80)-VALUE('Sheet2'!J79)),ABS(VALUE('Sheet2'!K80)-VALUE('Sheet2'!K79)),ABS(VALUE('Sheet2'!L80)-VALUE('Sheet2'!L79)),ABS(VALUE('Sheet2'!M80)-VALUE('Sheet2'!M79)),ABS(VALUE('Sheet2'!N80)-VALUE('Sheet2'!N79)),ABS(VALUE('Sheet2'!O80)-VALUE('Sheet2'!O79)),ABS(VALUE('Sheet2'!P80)-VALUE('Sheet2'!P79)))</x:f>
        <x:v>0.05469999999999999</x:v>
      </x:c>
      <x:c r="L80" t="n">
        <x:f>SUM(ABS(VALUE('Sheet2'!D80)-VALUE('Sheet2'!D79)),ABS(VALUE('Sheet2'!E80)-VALUE('Sheet2'!E79)),ABS(VALUE('Sheet2'!F80)-VALUE('Sheet2'!F79)),ABS(VALUE('Sheet2'!G80)-VALUE('Sheet2'!G79)),ABS(VALUE('Sheet2'!H80)-VALUE('Sheet2'!H79)),ABS(VALUE('Sheet2'!I80)-VALUE('Sheet2'!I79)),ABS(VALUE('Sheet2'!J80)-VALUE('Sheet2'!J79)),ABS(VALUE('Sheet2'!K80)-VALUE('Sheet2'!K79)),ABS(VALUE('Sheet2'!L80)-VALUE('Sheet2'!L79)),ABS(VALUE('Sheet2'!M80)-VALUE('Sheet2'!M79)),ABS(VALUE('Sheet2'!N80)-VALUE('Sheet2'!N79)),ABS(VALUE('Sheet2'!O80)-VALUE('Sheet2'!O79)),ABS(VALUE('Sheet2'!P80)-VALUE('Sheet2'!P79)))/2</x:f>
        <x:v>0.06344999999999999</x:v>
      </x:c>
      <x:c r="M80" t="n">
        <x:f>SUMSQ('Sheet2'!D80:P80)</x:f>
        <x:v>0.15740843999999998</x:v>
      </x:c>
      <x:c r="N80" t="n">
        <x:f>VALUE('Sheet2'!D80)</x:f>
        <x:v>0.1594</x:v>
      </x:c>
    </x:row>
    <x:row r="81">
      <x:c r="A81" t="str">
        <x:f>'Sheet2'!A81</x:f>
        <x:v>2024-10-18</x:v>
      </x:c>
      <x:c r="B81" t="n">
        <x:f>VALUE('Sheet2'!B81)</x:f>
        <x:v>0.8927</x:v>
      </x:c>
      <x:c r="C81" t="n">
        <x:f>VALUE('Sheet2'!C81)</x:f>
        <x:v>0.9968</x:v>
      </x:c>
      <x:c r="D81" t="n">
        <x:f>IFERROR(B81/B80-1,"")</x:f>
        <x:v>-0.0014541387024608055</x:v>
      </x:c>
      <x:c r="E81" t="n">
        <x:f>IFERROR(C81/C80-1,"")</x:f>
        <x:v>0.009724473257698651</x:v>
      </x:c>
      <x:c r="F81" t="n">
        <x:f>IFERROR(D81-E81,"")</x:f>
        <x:v>-0.011178611960159457</x:v>
      </x:c>
      <x:c r="G81" t="n">
        <x:f>MAX($B$2:B81)</x:f>
        <x:v>1.0115</x:v>
      </x:c>
      <x:c r="H81" t="n">
        <x:f>IFERROR(B81/G81-1,"")</x:f>
        <x:v>-0.11744933267424618</x:v>
      </x:c>
      <x:c r="I81" t="n">
        <x:f>MAX($C$2:C81)</x:f>
        <x:v>1.021</x:v>
      </x:c>
      <x:c r="J81" t="n">
        <x:f>IFERROR(C81/I81-1,"")</x:f>
        <x:v>-0.02370225269343773</x:v>
      </x:c>
      <x:c r="K81" t="n">
        <x:f>MAX(ABS(VALUE('Sheet2'!D81)-VALUE('Sheet2'!D80)),ABS(VALUE('Sheet2'!E81)-VALUE('Sheet2'!E80)),ABS(VALUE('Sheet2'!F81)-VALUE('Sheet2'!F80)),ABS(VALUE('Sheet2'!G81)-VALUE('Sheet2'!G80)),ABS(VALUE('Sheet2'!H81)-VALUE('Sheet2'!H80)),ABS(VALUE('Sheet2'!I81)-VALUE('Sheet2'!I80)),ABS(VALUE('Sheet2'!J81)-VALUE('Sheet2'!J80)),ABS(VALUE('Sheet2'!K81)-VALUE('Sheet2'!K80)),ABS(VALUE('Sheet2'!L81)-VALUE('Sheet2'!L80)),ABS(VALUE('Sheet2'!M81)-VALUE('Sheet2'!M80)),ABS(VALUE('Sheet2'!N81)-VALUE('Sheet2'!N80)),ABS(VALUE('Sheet2'!O81)-VALUE('Sheet2'!O80)),ABS(VALUE('Sheet2'!P81)-VALUE('Sheet2'!P80)))</x:f>
        <x:v>0.1123</x:v>
      </x:c>
      <x:c r="L81" t="n">
        <x:f>SUM(ABS(VALUE('Sheet2'!D81)-VALUE('Sheet2'!D80)),ABS(VALUE('Sheet2'!E81)-VALUE('Sheet2'!E80)),ABS(VALUE('Sheet2'!F81)-VALUE('Sheet2'!F80)),ABS(VALUE('Sheet2'!G81)-VALUE('Sheet2'!G80)),ABS(VALUE('Sheet2'!H81)-VALUE('Sheet2'!H80)),ABS(VALUE('Sheet2'!I81)-VALUE('Sheet2'!I80)),ABS(VALUE('Sheet2'!J81)-VALUE('Sheet2'!J80)),ABS(VALUE('Sheet2'!K81)-VALUE('Sheet2'!K80)),ABS(VALUE('Sheet2'!L81)-VALUE('Sheet2'!L80)),ABS(VALUE('Sheet2'!M81)-VALUE('Sheet2'!M80)),ABS(VALUE('Sheet2'!N81)-VALUE('Sheet2'!N80)),ABS(VALUE('Sheet2'!O81)-VALUE('Sheet2'!O80)),ABS(VALUE('Sheet2'!P81)-VALUE('Sheet2'!P80)))/2</x:f>
        <x:v>0.12010000000000001</x:v>
      </x:c>
      <x:c r="M81" t="n">
        <x:f>SUMSQ('Sheet2'!D81:P81)</x:f>
        <x:v>0.14919968</x:v>
      </x:c>
      <x:c r="N81" t="n">
        <x:f>VALUE('Sheet2'!D81)</x:f>
        <x:v>0.058</x:v>
      </x:c>
    </x:row>
    <x:row r="82">
      <x:c r="A82" t="str">
        <x:f>'Sheet2'!A82</x:f>
        <x:v>2024-10-25</x:v>
      </x:c>
      <x:c r="B82" t="n">
        <x:f>VALUE('Sheet2'!B82)</x:f>
        <x:v>0.8992</x:v>
      </x:c>
      <x:c r="C82" t="n">
        <x:f>VALUE('Sheet2'!C82)</x:f>
        <x:v>1.0047</x:v>
      </x:c>
      <x:c r="D82" t="n">
        <x:f>IFERROR(B82/B81-1,"")</x:f>
        <x:v>0.0072812815055449676</x:v>
      </x:c>
      <x:c r="E82" t="n">
        <x:f>IFERROR(C82/C81-1,"")</x:f>
        <x:v>0.007925361155698196</x:v>
      </x:c>
      <x:c r="F82" t="n">
        <x:f>IFERROR(D82-E82,"")</x:f>
        <x:v>-0.0006440796501532287</x:v>
      </x:c>
      <x:c r="G82" t="n">
        <x:f>MAX($B$2:B82)</x:f>
        <x:v>1.0115</x:v>
      </x:c>
      <x:c r="H82" t="n">
        <x:f>IFERROR(B82/G82-1,"")</x:f>
        <x:v>-0.11102323282254078</x:v>
      </x:c>
      <x:c r="I82" t="n">
        <x:f>MAX($C$2:C82)</x:f>
        <x:v>1.021</x:v>
      </x:c>
      <x:c r="J82" t="n">
        <x:f>IFERROR(C82/I82-1,"")</x:f>
        <x:v>-0.01596474045053864</x:v>
      </x:c>
      <x:c r="K82" t="n">
        <x:f>MAX(ABS(VALUE('Sheet2'!D82)-VALUE('Sheet2'!D81)),ABS(VALUE('Sheet2'!E82)-VALUE('Sheet2'!E81)),ABS(VALUE('Sheet2'!F82)-VALUE('Sheet2'!F81)),ABS(VALUE('Sheet2'!G82)-VALUE('Sheet2'!G81)),ABS(VALUE('Sheet2'!H82)-VALUE('Sheet2'!H81)),ABS(VALUE('Sheet2'!I82)-VALUE('Sheet2'!I81)),ABS(VALUE('Sheet2'!J82)-VALUE('Sheet2'!J81)),ABS(VALUE('Sheet2'!K82)-VALUE('Sheet2'!K81)),ABS(VALUE('Sheet2'!L82)-VALUE('Sheet2'!L81)),ABS(VALUE('Sheet2'!M82)-VALUE('Sheet2'!M81)),ABS(VALUE('Sheet2'!N82)-VALUE('Sheet2'!N81)),ABS(VALUE('Sheet2'!O82)-VALUE('Sheet2'!O81)),ABS(VALUE('Sheet2'!P82)-VALUE('Sheet2'!P81)))</x:f>
        <x:v>0.004299999999999998</x:v>
      </x:c>
      <x:c r="L82" t="n">
        <x:f>SUM(ABS(VALUE('Sheet2'!D82)-VALUE('Sheet2'!D81)),ABS(VALUE('Sheet2'!E82)-VALUE('Sheet2'!E81)),ABS(VALUE('Sheet2'!F82)-VALUE('Sheet2'!F81)),ABS(VALUE('Sheet2'!G82)-VALUE('Sheet2'!G81)),ABS(VALUE('Sheet2'!H82)-VALUE('Sheet2'!H81)),ABS(VALUE('Sheet2'!I82)-VALUE('Sheet2'!I81)),ABS(VALUE('Sheet2'!J82)-VALUE('Sheet2'!J81)),ABS(VALUE('Sheet2'!K82)-VALUE('Sheet2'!K81)),ABS(VALUE('Sheet2'!L82)-VALUE('Sheet2'!L81)),ABS(VALUE('Sheet2'!M82)-VALUE('Sheet2'!M81)),ABS(VALUE('Sheet2'!N82)-VALUE('Sheet2'!N81)),ABS(VALUE('Sheet2'!O82)-VALUE('Sheet2'!O81)),ABS(VALUE('Sheet2'!P82)-VALUE('Sheet2'!P81)))/2</x:f>
        <x:v>0.006199999999999994</x:v>
      </x:c>
      <x:c r="M82" t="n">
        <x:f>SUMSQ('Sheet2'!D82:P82)</x:f>
        <x:v>0.15036992</x:v>
      </x:c>
      <x:c r="N82" t="n">
        <x:f>VALUE('Sheet2'!D82)</x:f>
        <x:v>0.0572</x:v>
      </x:c>
    </x:row>
    <x:row r="83">
      <x:c r="A83" t="str">
        <x:f>'Sheet2'!A83</x:f>
        <x:v>2024-10-31</x:v>
      </x:c>
      <x:c r="B83" t="n">
        <x:f>VALUE('Sheet2'!B83)</x:f>
        <x:v>0.8971</x:v>
      </x:c>
      <x:c r="C83" t="n">
        <x:f>VALUE('Sheet2'!C83)</x:f>
        <x:v>0.9881</x:v>
      </x:c>
      <x:c r="D83" t="n">
        <x:f>IFERROR(B83/B82-1,"")</x:f>
        <x:v>-0.002335409252669063</x:v>
      </x:c>
      <x:c r="E83" t="n">
        <x:f>IFERROR(C83/C82-1,"")</x:f>
        <x:v>-0.0165223449786005</x:v>
      </x:c>
      <x:c r="F83" t="n">
        <x:f>IFERROR(D83-E83,"")</x:f>
        <x:v>0.014186935725931438</x:v>
      </x:c>
      <x:c r="G83" t="n">
        <x:f>MAX($B$2:B83)</x:f>
        <x:v>1.0115</x:v>
      </x:c>
      <x:c r="H83" t="n">
        <x:f>IFERROR(B83/G83-1,"")</x:f>
        <x:v>-0.11309935739001487</x:v>
      </x:c>
      <x:c r="I83" t="n">
        <x:f>MAX($C$2:C83)</x:f>
        <x:v>1.021</x:v>
      </x:c>
      <x:c r="J83" t="n">
        <x:f>IFERROR(C83/I83-1,"")</x:f>
        <x:v>-0.03222331047992155</x:v>
      </x:c>
      <x:c r="K83" t="n">
        <x:f>MAX(ABS(VALUE('Sheet2'!D83)-VALUE('Sheet2'!D82)),ABS(VALUE('Sheet2'!E83)-VALUE('Sheet2'!E82)),ABS(VALUE('Sheet2'!F83)-VALUE('Sheet2'!F82)),ABS(VALUE('Sheet2'!G83)-VALUE('Sheet2'!G82)),ABS(VALUE('Sheet2'!H83)-VALUE('Sheet2'!H82)),ABS(VALUE('Sheet2'!I83)-VALUE('Sheet2'!I82)),ABS(VALUE('Sheet2'!J83)-VALUE('Sheet2'!J82)),ABS(VALUE('Sheet2'!K83)-VALUE('Sheet2'!K82)),ABS(VALUE('Sheet2'!L83)-VALUE('Sheet2'!L82)),ABS(VALUE('Sheet2'!M83)-VALUE('Sheet2'!M82)),ABS(VALUE('Sheet2'!N83)-VALUE('Sheet2'!N82)),ABS(VALUE('Sheet2'!O83)-VALUE('Sheet2'!O82)),ABS(VALUE('Sheet2'!P83)-VALUE('Sheet2'!P82)))</x:f>
        <x:v>0.0613</x:v>
      </x:c>
      <x:c r="L83" t="n">
        <x:f>SUM(ABS(VALUE('Sheet2'!D83)-VALUE('Sheet2'!D82)),ABS(VALUE('Sheet2'!E83)-VALUE('Sheet2'!E82)),ABS(VALUE('Sheet2'!F83)-VALUE('Sheet2'!F82)),ABS(VALUE('Sheet2'!G83)-VALUE('Sheet2'!G82)),ABS(VALUE('Sheet2'!H83)-VALUE('Sheet2'!H82)),ABS(VALUE('Sheet2'!I83)-VALUE('Sheet2'!I82)),ABS(VALUE('Sheet2'!J83)-VALUE('Sheet2'!J82)),ABS(VALUE('Sheet2'!K83)-VALUE('Sheet2'!K82)),ABS(VALUE('Sheet2'!L83)-VALUE('Sheet2'!L82)),ABS(VALUE('Sheet2'!M83)-VALUE('Sheet2'!M82)),ABS(VALUE('Sheet2'!N83)-VALUE('Sheet2'!N82)),ABS(VALUE('Sheet2'!O83)-VALUE('Sheet2'!O82)),ABS(VALUE('Sheet2'!P83)-VALUE('Sheet2'!P82)))/2</x:f>
        <x:v>0.06410000000000002</x:v>
      </x:c>
      <x:c r="M83" t="n">
        <x:f>SUMSQ('Sheet2'!D83:P83)</x:f>
        <x:v>0.15785758</x:v>
      </x:c>
      <x:c r="N83" t="n">
        <x:f>VALUE('Sheet2'!D83)</x:f>
        <x:v>0.1185</x:v>
      </x:c>
    </x:row>
    <x:row r="84">
      <x:c r="A84" t="str">
        <x:f>'Sheet2'!A84</x:f>
        <x:v>2024-11-01</x:v>
      </x:c>
      <x:c r="B84" t="n">
        <x:f>VALUE('Sheet2'!B84)</x:f>
        <x:v>0.8965</x:v>
      </x:c>
      <x:c r="C84" t="n">
        <x:f>VALUE('Sheet2'!C84)</x:f>
        <x:v>0.9879</x:v>
      </x:c>
      <x:c r="D84" t="n">
        <x:f>IFERROR(B84/B83-1,"")</x:f>
        <x:v>-0.0006688217590012924</x:v>
      </x:c>
      <x:c r="E84" t="n">
        <x:f>IFERROR(C84/C83-1,"")</x:f>
        <x:v>-0.00020240866309073624</x:v>
      </x:c>
      <x:c r="F84" t="n">
        <x:f>IFERROR(D84-E84,"")</x:f>
        <x:v>-0.00046641309591055613</x:v>
      </x:c>
      <x:c r="G84" t="n">
        <x:f>MAX($B$2:B84)</x:f>
        <x:v>1.0115</x:v>
      </x:c>
      <x:c r="H84" t="n">
        <x:f>IFERROR(B84/G84-1,"")</x:f>
        <x:v>-0.11369253583786465</x:v>
      </x:c>
      <x:c r="I84" t="n">
        <x:f>MAX($C$2:C84)</x:f>
        <x:v>1.021</x:v>
      </x:c>
      <x:c r="J84" t="n">
        <x:f>IFERROR(C84/I84-1,"")</x:f>
        <x:v>-0.032419196865817734</x:v>
      </x:c>
      <x:c r="K84" t="n">
        <x:f>MAX(ABS(VALUE('Sheet2'!D84)-VALUE('Sheet2'!D83)),ABS(VALUE('Sheet2'!E84)-VALUE('Sheet2'!E83)),ABS(VALUE('Sheet2'!F84)-VALUE('Sheet2'!F83)),ABS(VALUE('Sheet2'!G84)-VALUE('Sheet2'!G83)),ABS(VALUE('Sheet2'!H84)-VALUE('Sheet2'!H83)),ABS(VALUE('Sheet2'!I84)-VALUE('Sheet2'!I83)),ABS(VALUE('Sheet2'!J84)-VALUE('Sheet2'!J83)),ABS(VALUE('Sheet2'!K84)-VALUE('Sheet2'!K83)),ABS(VALUE('Sheet2'!L84)-VALUE('Sheet2'!L83)),ABS(VALUE('Sheet2'!M84)-VALUE('Sheet2'!M83)),ABS(VALUE('Sheet2'!N84)-VALUE('Sheet2'!N83)),ABS(VALUE('Sheet2'!O84)-VALUE('Sheet2'!O83)),ABS(VALUE('Sheet2'!P84)-VALUE('Sheet2'!P83)))</x:f>
        <x:v>0.001799999999999996</x:v>
      </x:c>
      <x:c r="L84" t="n">
        <x:f>SUM(ABS(VALUE('Sheet2'!D84)-VALUE('Sheet2'!D83)),ABS(VALUE('Sheet2'!E84)-VALUE('Sheet2'!E83)),ABS(VALUE('Sheet2'!F84)-VALUE('Sheet2'!F83)),ABS(VALUE('Sheet2'!G84)-VALUE('Sheet2'!G83)),ABS(VALUE('Sheet2'!H84)-VALUE('Sheet2'!H83)),ABS(VALUE('Sheet2'!I84)-VALUE('Sheet2'!I83)),ABS(VALUE('Sheet2'!J84)-VALUE('Sheet2'!J83)),ABS(VALUE('Sheet2'!K84)-VALUE('Sheet2'!K83)),ABS(VALUE('Sheet2'!L84)-VALUE('Sheet2'!L83)),ABS(VALUE('Sheet2'!M84)-VALUE('Sheet2'!M83)),ABS(VALUE('Sheet2'!N84)-VALUE('Sheet2'!N83)),ABS(VALUE('Sheet2'!O84)-VALUE('Sheet2'!O83)),ABS(VALUE('Sheet2'!P84)-VALUE('Sheet2'!P83)))/2</x:f>
        <x:v>0.0027499999999999955</x:v>
      </x:c>
      <x:c r="M84" t="n">
        <x:f>SUMSQ('Sheet2'!D84:P84)</x:f>
        <x:v>0.15746846999999997</x:v>
      </x:c>
      <x:c r="N84" t="n">
        <x:f>VALUE('Sheet2'!D84)</x:f>
        <x:v>0.1185</x:v>
      </x:c>
    </x:row>
    <x:row r="85">
      <x:c r="A85" t="str">
        <x:f>'Sheet2'!A85</x:f>
        <x:v>2024-11-08</x:v>
      </x:c>
      <x:c r="B85" t="n">
        <x:f>VALUE('Sheet2'!B85)</x:f>
        <x:v>0.9174</x:v>
      </x:c>
      <x:c r="C85" t="n">
        <x:f>VALUE('Sheet2'!C85)</x:f>
        <x:v>1.0422</x:v>
      </x:c>
      <x:c r="D85" t="n">
        <x:f>IFERROR(B85/B84-1,"")</x:f>
        <x:v>0.02331288343558291</x:v>
      </x:c>
      <x:c r="E85" t="n">
        <x:f>IFERROR(C85/C84-1,"")</x:f>
        <x:v>0.05496507743698764</x:v>
      </x:c>
      <x:c r="F85" t="n">
        <x:f>IFERROR(D85-E85,"")</x:f>
        <x:v>-0.03165219400140473</x:v>
      </x:c>
      <x:c r="G85" t="n">
        <x:f>MAX($B$2:B85)</x:f>
        <x:v>1.0115</x:v>
      </x:c>
      <x:c r="H85" t="n">
        <x:f>IFERROR(B85/G85-1,"")</x:f>
        <x:v>-0.09303015323776576</x:v>
      </x:c>
      <x:c r="I85" t="n">
        <x:f>MAX($C$2:C85)</x:f>
        <x:v>1.0422</x:v>
      </x:c>
      <x:c r="J85" t="n">
        <x:f>IFERROR(C85/I85-1,"")</x:f>
        <x:v>0</x:v>
      </x:c>
      <x:c r="K85" t="n">
        <x:f>MAX(ABS(VALUE('Sheet2'!D85)-VALUE('Sheet2'!D84)),ABS(VALUE('Sheet2'!E85)-VALUE('Sheet2'!E84)),ABS(VALUE('Sheet2'!F85)-VALUE('Sheet2'!F84)),ABS(VALUE('Sheet2'!G85)-VALUE('Sheet2'!G84)),ABS(VALUE('Sheet2'!H85)-VALUE('Sheet2'!H84)),ABS(VALUE('Sheet2'!I85)-VALUE('Sheet2'!I84)),ABS(VALUE('Sheet2'!J85)-VALUE('Sheet2'!J84)),ABS(VALUE('Sheet2'!K85)-VALUE('Sheet2'!K84)),ABS(VALUE('Sheet2'!L85)-VALUE('Sheet2'!L84)),ABS(VALUE('Sheet2'!M85)-VALUE('Sheet2'!M84)),ABS(VALUE('Sheet2'!N85)-VALUE('Sheet2'!N84)),ABS(VALUE('Sheet2'!O85)-VALUE('Sheet2'!O84)),ABS(VALUE('Sheet2'!P85)-VALUE('Sheet2'!P84)))</x:f>
        <x:v>0.10880000000000001</x:v>
      </x:c>
      <x:c r="L85" t="n">
        <x:f>SUM(ABS(VALUE('Sheet2'!D85)-VALUE('Sheet2'!D84)),ABS(VALUE('Sheet2'!E85)-VALUE('Sheet2'!E84)),ABS(VALUE('Sheet2'!F85)-VALUE('Sheet2'!F84)),ABS(VALUE('Sheet2'!G85)-VALUE('Sheet2'!G84)),ABS(VALUE('Sheet2'!H85)-VALUE('Sheet2'!H84)),ABS(VALUE('Sheet2'!I85)-VALUE('Sheet2'!I84)),ABS(VALUE('Sheet2'!J85)-VALUE('Sheet2'!J84)),ABS(VALUE('Sheet2'!K85)-VALUE('Sheet2'!K84)),ABS(VALUE('Sheet2'!L85)-VALUE('Sheet2'!L84)),ABS(VALUE('Sheet2'!M85)-VALUE('Sheet2'!M84)),ABS(VALUE('Sheet2'!N85)-VALUE('Sheet2'!N84)),ABS(VALUE('Sheet2'!O85)-VALUE('Sheet2'!O84)),ABS(VALUE('Sheet2'!P85)-VALUE('Sheet2'!P84)))/2</x:f>
        <x:v>0.11875</x:v>
      </x:c>
      <x:c r="M85" t="n">
        <x:f>SUMSQ('Sheet2'!D85:P85)</x:f>
        <x:v>0.17736871999999998</x:v>
      </x:c>
      <x:c r="N85" t="n">
        <x:f>VALUE('Sheet2'!D85)</x:f>
        <x:v>0.0181</x:v>
      </x:c>
    </x:row>
    <x:row r="86">
      <x:c r="A86" t="str">
        <x:f>'Sheet2'!A86</x:f>
        <x:v>2024-11-15</x:v>
      </x:c>
      <x:c r="B86" t="n">
        <x:f>VALUE('Sheet2'!B86)</x:f>
        <x:v>0.8972</x:v>
      </x:c>
      <x:c r="C86" t="n">
        <x:f>VALUE('Sheet2'!C86)</x:f>
        <x:v>1.0079</x:v>
      </x:c>
      <x:c r="D86" t="n">
        <x:f>IFERROR(B86/B85-1,"")</x:f>
        <x:v>-0.022018748637453678</x:v>
      </x:c>
      <x:c r="E86" t="n">
        <x:f>IFERROR(C86/C85-1,"")</x:f>
        <x:v>-0.032911149491460345</x:v>
      </x:c>
      <x:c r="F86" t="n">
        <x:f>IFERROR(D86-E86,"")</x:f>
        <x:v>0.010892400854006667</x:v>
      </x:c>
      <x:c r="G86" t="n">
        <x:f>MAX($B$2:B86)</x:f>
        <x:v>1.0115</x:v>
      </x:c>
      <x:c r="H86" t="n">
        <x:f>IFERROR(B86/G86-1,"")</x:f>
        <x:v>-0.11300049431537329</x:v>
      </x:c>
      <x:c r="I86" t="n">
        <x:f>MAX($C$2:C86)</x:f>
        <x:v>1.0422</x:v>
      </x:c>
      <x:c r="J86" t="n">
        <x:f>IFERROR(C86/I86-1,"")</x:f>
        <x:v>-0.032911149491460345</x:v>
      </x:c>
      <x:c r="K86" t="n">
        <x:f>MAX(ABS(VALUE('Sheet2'!D86)-VALUE('Sheet2'!D85)),ABS(VALUE('Sheet2'!E86)-VALUE('Sheet2'!E85)),ABS(VALUE('Sheet2'!F86)-VALUE('Sheet2'!F85)),ABS(VALUE('Sheet2'!G86)-VALUE('Sheet2'!G85)),ABS(VALUE('Sheet2'!H86)-VALUE('Sheet2'!H85)),ABS(VALUE('Sheet2'!I86)-VALUE('Sheet2'!I85)),ABS(VALUE('Sheet2'!J86)-VALUE('Sheet2'!J85)),ABS(VALUE('Sheet2'!K86)-VALUE('Sheet2'!K85)),ABS(VALUE('Sheet2'!L86)-VALUE('Sheet2'!L85)),ABS(VALUE('Sheet2'!M86)-VALUE('Sheet2'!M85)),ABS(VALUE('Sheet2'!N86)-VALUE('Sheet2'!N85)),ABS(VALUE('Sheet2'!O86)-VALUE('Sheet2'!O85)),ABS(VALUE('Sheet2'!P86)-VALUE('Sheet2'!P85)))</x:f>
        <x:v>0.010199999999999987</x:v>
      </x:c>
      <x:c r="L86" t="n">
        <x:f>SUM(ABS(VALUE('Sheet2'!D86)-VALUE('Sheet2'!D85)),ABS(VALUE('Sheet2'!E86)-VALUE('Sheet2'!E85)),ABS(VALUE('Sheet2'!F86)-VALUE('Sheet2'!F85)),ABS(VALUE('Sheet2'!G86)-VALUE('Sheet2'!G85)),ABS(VALUE('Sheet2'!H86)-VALUE('Sheet2'!H85)),ABS(VALUE('Sheet2'!I86)-VALUE('Sheet2'!I85)),ABS(VALUE('Sheet2'!J86)-VALUE('Sheet2'!J85)),ABS(VALUE('Sheet2'!K86)-VALUE('Sheet2'!K85)),ABS(VALUE('Sheet2'!L86)-VALUE('Sheet2'!L85)),ABS(VALUE('Sheet2'!M86)-VALUE('Sheet2'!M85)),ABS(VALUE('Sheet2'!N86)-VALUE('Sheet2'!N85)),ABS(VALUE('Sheet2'!O86)-VALUE('Sheet2'!O85)),ABS(VALUE('Sheet2'!P86)-VALUE('Sheet2'!P85)))/2</x:f>
        <x:v>0.013599999999999963</x:v>
      </x:c>
      <x:c r="M86" t="n">
        <x:f>SUMSQ('Sheet2'!D86:P86)</x:f>
        <x:v>0.17644018</x:v>
      </x:c>
      <x:c r="N86" t="n">
        <x:f>VALUE('Sheet2'!D86)</x:f>
        <x:v>0.0188</x:v>
      </x:c>
    </x:row>
    <x:row r="87">
      <x:c r="A87" t="str">
        <x:f>'Sheet2'!A87</x:f>
        <x:v>2024-11-22</x:v>
      </x:c>
      <x:c r="B87" t="n">
        <x:f>VALUE('Sheet2'!B87)</x:f>
        <x:v>0.8925</x:v>
      </x:c>
      <x:c r="C87" t="n">
        <x:f>VALUE('Sheet2'!C87)</x:f>
        <x:v>0.9817</x:v>
      </x:c>
      <x:c r="D87" t="n">
        <x:f>IFERROR(B87/B86-1,"")</x:f>
        <x:v>-0.005238519839500744</x:v>
      </x:c>
      <x:c r="E87" t="n">
        <x:f>IFERROR(C87/C86-1,"")</x:f>
        <x:v>-0.025994642325627537</x:v>
      </x:c>
      <x:c r="F87" t="n">
        <x:f>IFERROR(D87-E87,"")</x:f>
        <x:v>0.020756122486126793</x:v>
      </x:c>
      <x:c r="G87" t="n">
        <x:f>MAX($B$2:B87)</x:f>
        <x:v>1.0115</x:v>
      </x:c>
      <x:c r="H87" t="n">
        <x:f>IFERROR(B87/G87-1,"")</x:f>
        <x:v>-0.11764705882352955</x:v>
      </x:c>
      <x:c r="I87" t="n">
        <x:f>MAX($C$2:C87)</x:f>
        <x:v>1.0422</x:v>
      </x:c>
      <x:c r="J87" t="n">
        <x:f>IFERROR(C87/I87-1,"")</x:f>
        <x:v>-0.05805027825753217</x:v>
      </x:c>
      <x:c r="K87" t="n">
        <x:f>MAX(ABS(VALUE('Sheet2'!D87)-VALUE('Sheet2'!D86)),ABS(VALUE('Sheet2'!E87)-VALUE('Sheet2'!E86)),ABS(VALUE('Sheet2'!F87)-VALUE('Sheet2'!F86)),ABS(VALUE('Sheet2'!G87)-VALUE('Sheet2'!G86)),ABS(VALUE('Sheet2'!H87)-VALUE('Sheet2'!H86)),ABS(VALUE('Sheet2'!I87)-VALUE('Sheet2'!I86)),ABS(VALUE('Sheet2'!J87)-VALUE('Sheet2'!J86)),ABS(VALUE('Sheet2'!K87)-VALUE('Sheet2'!K86)),ABS(VALUE('Sheet2'!L87)-VALUE('Sheet2'!L86)),ABS(VALUE('Sheet2'!M87)-VALUE('Sheet2'!M86)),ABS(VALUE('Sheet2'!N87)-VALUE('Sheet2'!N86)),ABS(VALUE('Sheet2'!O87)-VALUE('Sheet2'!O86)),ABS(VALUE('Sheet2'!P87)-VALUE('Sheet2'!P86)))</x:f>
        <x:v>0.0229</x:v>
      </x:c>
      <x:c r="L87" t="n">
        <x:f>SUM(ABS(VALUE('Sheet2'!D87)-VALUE('Sheet2'!D86)),ABS(VALUE('Sheet2'!E87)-VALUE('Sheet2'!E86)),ABS(VALUE('Sheet2'!F87)-VALUE('Sheet2'!F86)),ABS(VALUE('Sheet2'!G87)-VALUE('Sheet2'!G86)),ABS(VALUE('Sheet2'!H87)-VALUE('Sheet2'!H86)),ABS(VALUE('Sheet2'!I87)-VALUE('Sheet2'!I86)),ABS(VALUE('Sheet2'!J87)-VALUE('Sheet2'!J86)),ABS(VALUE('Sheet2'!K87)-VALUE('Sheet2'!K86)),ABS(VALUE('Sheet2'!L87)-VALUE('Sheet2'!L86)),ABS(VALUE('Sheet2'!M87)-VALUE('Sheet2'!M86)),ABS(VALUE('Sheet2'!N87)-VALUE('Sheet2'!N86)),ABS(VALUE('Sheet2'!O87)-VALUE('Sheet2'!O86)),ABS(VALUE('Sheet2'!P87)-VALUE('Sheet2'!P86)))/2</x:f>
        <x:v>0.02730000000000002</x:v>
      </x:c>
      <x:c r="M87" t="n">
        <x:f>SUMSQ('Sheet2'!D87:P87)</x:f>
        <x:v>0.17112303999999998</x:v>
      </x:c>
      <x:c r="N87" t="n">
        <x:f>VALUE('Sheet2'!D87)</x:f>
        <x:v>0.0417</x:v>
      </x:c>
    </x:row>
    <x:row r="88">
      <x:c r="A88" t="str">
        <x:f>'Sheet2'!A88</x:f>
        <x:v>2024-11-29</x:v>
      </x:c>
      <x:c r="B88" t="n">
        <x:f>VALUE('Sheet2'!B88)</x:f>
        <x:v>0.9014</x:v>
      </x:c>
      <x:c r="C88" t="n">
        <x:f>VALUE('Sheet2'!C88)</x:f>
        <x:v>0.9946</x:v>
      </x:c>
      <x:c r="D88" t="n">
        <x:f>IFERROR(B88/B87-1,"")</x:f>
        <x:v>0.009971988795518305</x:v>
      </x:c>
      <x:c r="E88" t="n">
        <x:f>IFERROR(C88/C87-1,"")</x:f>
        <x:v>0.013140470612203359</x:v>
      </x:c>
      <x:c r="F88" t="n">
        <x:f>IFERROR(D88-E88,"")</x:f>
        <x:v>-0.0031684818166850537</x:v>
      </x:c>
      <x:c r="G88" t="n">
        <x:f>MAX($B$2:B88)</x:f>
        <x:v>1.0115</x:v>
      </x:c>
      <x:c r="H88" t="n">
        <x:f>IFERROR(B88/G88-1,"")</x:f>
        <x:v>-0.10884824518042524</x:v>
      </x:c>
      <x:c r="I88" t="n">
        <x:f>MAX($C$2:C88)</x:f>
        <x:v>1.0422</x:v>
      </x:c>
      <x:c r="J88" t="n">
        <x:f>IFERROR(C88/I88-1,"")</x:f>
        <x:v>-0.04567261562080216</x:v>
      </x:c>
      <x:c r="K88" t="n">
        <x:f>MAX(ABS(VALUE('Sheet2'!D88)-VALUE('Sheet2'!D87)),ABS(VALUE('Sheet2'!E88)-VALUE('Sheet2'!E87)),ABS(VALUE('Sheet2'!F88)-VALUE('Sheet2'!F87)),ABS(VALUE('Sheet2'!G88)-VALUE('Sheet2'!G87)),ABS(VALUE('Sheet2'!H88)-VALUE('Sheet2'!H87)),ABS(VALUE('Sheet2'!I88)-VALUE('Sheet2'!I87)),ABS(VALUE('Sheet2'!J88)-VALUE('Sheet2'!J87)),ABS(VALUE('Sheet2'!K88)-VALUE('Sheet2'!K87)),ABS(VALUE('Sheet2'!L88)-VALUE('Sheet2'!L87)),ABS(VALUE('Sheet2'!M88)-VALUE('Sheet2'!M87)),ABS(VALUE('Sheet2'!N88)-VALUE('Sheet2'!N87)),ABS(VALUE('Sheet2'!O88)-VALUE('Sheet2'!O87)),ABS(VALUE('Sheet2'!P88)-VALUE('Sheet2'!P87)))</x:f>
        <x:v>0.0022000000000000075</x:v>
      </x:c>
      <x:c r="L88" t="n">
        <x:f>SUM(ABS(VALUE('Sheet2'!D88)-VALUE('Sheet2'!D87)),ABS(VALUE('Sheet2'!E88)-VALUE('Sheet2'!E87)),ABS(VALUE('Sheet2'!F88)-VALUE('Sheet2'!F87)),ABS(VALUE('Sheet2'!G88)-VALUE('Sheet2'!G87)),ABS(VALUE('Sheet2'!H88)-VALUE('Sheet2'!H87)),ABS(VALUE('Sheet2'!I88)-VALUE('Sheet2'!I87)),ABS(VALUE('Sheet2'!J88)-VALUE('Sheet2'!J87)),ABS(VALUE('Sheet2'!K88)-VALUE('Sheet2'!K87)),ABS(VALUE('Sheet2'!L88)-VALUE('Sheet2'!L87)),ABS(VALUE('Sheet2'!M88)-VALUE('Sheet2'!M87)),ABS(VALUE('Sheet2'!N88)-VALUE('Sheet2'!N87)),ABS(VALUE('Sheet2'!O88)-VALUE('Sheet2'!O87)),ABS(VALUE('Sheet2'!P88)-VALUE('Sheet2'!P87)))/2</x:f>
        <x:v>0.0037000000000000054</x:v>
      </x:c>
      <x:c r="M88" t="n">
        <x:f>SUMSQ('Sheet2'!D88:P88)</x:f>
        <x:v>0.17143026</x:v>
      </x:c>
      <x:c r="N88" t="n">
        <x:f>VALUE('Sheet2'!D88)</x:f>
        <x:v>0.041</x:v>
      </x:c>
    </x:row>
    <x:row r="89">
      <x:c r="A89" t="str">
        <x:f>'Sheet2'!A89</x:f>
        <x:v>2024-12-06</x:v>
      </x:c>
      <x:c r="B89" t="n">
        <x:f>VALUE('Sheet2'!B89)</x:f>
        <x:v>0.9147</x:v>
      </x:c>
      <x:c r="C89" t="n">
        <x:f>VALUE('Sheet2'!C89)</x:f>
        <x:v>1.009</x:v>
      </x:c>
      <x:c r="D89" t="n">
        <x:f>IFERROR(B89/B88-1,"")</x:f>
        <x:v>0.014754825826492013</x:v>
      </x:c>
      <x:c r="E89" t="n">
        <x:f>IFERROR(C89/C88-1,"")</x:f>
        <x:v>0.014478182183792265</x:v>
      </x:c>
      <x:c r="F89" t="n">
        <x:f>IFERROR(D89-E89,"")</x:f>
        <x:v>0.0002766436426997476</x:v>
      </x:c>
      <x:c r="G89" t="n">
        <x:f>MAX($B$2:B89)</x:f>
        <x:v>1.0115</x:v>
      </x:c>
      <x:c r="H89" t="n">
        <x:f>IFERROR(B89/G89-1,"")</x:f>
        <x:v>-0.09569945625308962</x:v>
      </x:c>
      <x:c r="I89" t="n">
        <x:f>MAX($C$2:C89)</x:f>
        <x:v>1.0422</x:v>
      </x:c>
      <x:c r="J89" t="n">
        <x:f>IFERROR(C89/I89-1,"")</x:f>
        <x:v>-0.031855689886778116</x:v>
      </x:c>
      <x:c r="K89" t="n">
        <x:f>MAX(ABS(VALUE('Sheet2'!D89)-VALUE('Sheet2'!D88)),ABS(VALUE('Sheet2'!E89)-VALUE('Sheet2'!E88)),ABS(VALUE('Sheet2'!F89)-VALUE('Sheet2'!F88)),ABS(VALUE('Sheet2'!G89)-VALUE('Sheet2'!G88)),ABS(VALUE('Sheet2'!H89)-VALUE('Sheet2'!H88)),ABS(VALUE('Sheet2'!I89)-VALUE('Sheet2'!I88)),ABS(VALUE('Sheet2'!J89)-VALUE('Sheet2'!J88)),ABS(VALUE('Sheet2'!K89)-VALUE('Sheet2'!K88)),ABS(VALUE('Sheet2'!L89)-VALUE('Sheet2'!L88)),ABS(VALUE('Sheet2'!M89)-VALUE('Sheet2'!M88)),ABS(VALUE('Sheet2'!N89)-VALUE('Sheet2'!N88)),ABS(VALUE('Sheet2'!O89)-VALUE('Sheet2'!O88)),ABS(VALUE('Sheet2'!P89)-VALUE('Sheet2'!P88)))</x:f>
        <x:v>0.0028000000000000247</x:v>
      </x:c>
      <x:c r="L89" t="n">
        <x:f>SUM(ABS(VALUE('Sheet2'!D89)-VALUE('Sheet2'!D88)),ABS(VALUE('Sheet2'!E89)-VALUE('Sheet2'!E88)),ABS(VALUE('Sheet2'!F89)-VALUE('Sheet2'!F88)),ABS(VALUE('Sheet2'!G89)-VALUE('Sheet2'!G88)),ABS(VALUE('Sheet2'!H89)-VALUE('Sheet2'!H88)),ABS(VALUE('Sheet2'!I89)-VALUE('Sheet2'!I88)),ABS(VALUE('Sheet2'!J89)-VALUE('Sheet2'!J88)),ABS(VALUE('Sheet2'!K89)-VALUE('Sheet2'!K88)),ABS(VALUE('Sheet2'!L89)-VALUE('Sheet2'!L88)),ABS(VALUE('Sheet2'!M89)-VALUE('Sheet2'!M88)),ABS(VALUE('Sheet2'!N89)-VALUE('Sheet2'!N88)),ABS(VALUE('Sheet2'!O89)-VALUE('Sheet2'!O88)),ABS(VALUE('Sheet2'!P89)-VALUE('Sheet2'!P88)))/2</x:f>
        <x:v>0.0037500000000000346</x:v>
      </x:c>
      <x:c r="M89" t="n">
        <x:f>SUMSQ('Sheet2'!D89:P89)</x:f>
        <x:v>0.17221199</x:v>
      </x:c>
      <x:c r="N89" t="n">
        <x:f>VALUE('Sheet2'!D89)</x:f>
        <x:v>0.0401</x:v>
      </x:c>
    </x:row>
    <x:row r="90">
      <x:c r="A90" t="str">
        <x:f>'Sheet2'!A90</x:f>
        <x:v>2024-12-13</x:v>
      </x:c>
      <x:c r="B90" t="n">
        <x:f>VALUE('Sheet2'!B90)</x:f>
        <x:v>0.9143</x:v>
      </x:c>
      <x:c r="C90" t="n">
        <x:f>VALUE('Sheet2'!C90)</x:f>
        <x:v>0.9988</x:v>
      </x:c>
      <x:c r="D90" t="n">
        <x:f>IFERROR(B90/B89-1,"")</x:f>
        <x:v>-0.0004373018476002688</x:v>
      </x:c>
      <x:c r="E90" t="n">
        <x:f>IFERROR(C90/C89-1,"")</x:f>
        <x:v>-0.010109018830525174</x:v>
      </x:c>
      <x:c r="F90" t="n">
        <x:f>IFERROR(D90-E90,"")</x:f>
        <x:v>0.009671716982924905</x:v>
      </x:c>
      <x:c r="G90" t="n">
        <x:f>MAX($B$2:B90)</x:f>
        <x:v>1.0115</x:v>
      </x:c>
      <x:c r="H90" t="n">
        <x:f>IFERROR(B90/G90-1,"")</x:f>
        <x:v>-0.09609490855165603</x:v>
      </x:c>
      <x:c r="I90" t="n">
        <x:f>MAX($C$2:C90)</x:f>
        <x:v>1.0422</x:v>
      </x:c>
      <x:c r="J90" t="n">
        <x:f>IFERROR(C90/I90-1,"")</x:f>
        <x:v>-0.041642678948378475</x:v>
      </x:c>
      <x:c r="K90" t="n">
        <x:f>MAX(ABS(VALUE('Sheet2'!D90)-VALUE('Sheet2'!D89)),ABS(VALUE('Sheet2'!E90)-VALUE('Sheet2'!E89)),ABS(VALUE('Sheet2'!F90)-VALUE('Sheet2'!F89)),ABS(VALUE('Sheet2'!G90)-VALUE('Sheet2'!G89)),ABS(VALUE('Sheet2'!H90)-VALUE('Sheet2'!H89)),ABS(VALUE('Sheet2'!I90)-VALUE('Sheet2'!I89)),ABS(VALUE('Sheet2'!J90)-VALUE('Sheet2'!J89)),ABS(VALUE('Sheet2'!K90)-VALUE('Sheet2'!K89)),ABS(VALUE('Sheet2'!L90)-VALUE('Sheet2'!L89)),ABS(VALUE('Sheet2'!M90)-VALUE('Sheet2'!M89)),ABS(VALUE('Sheet2'!N90)-VALUE('Sheet2'!N89)),ABS(VALUE('Sheet2'!O90)-VALUE('Sheet2'!O89)),ABS(VALUE('Sheet2'!P90)-VALUE('Sheet2'!P89)))</x:f>
        <x:v>0.022199999999999998</x:v>
      </x:c>
      <x:c r="L90" t="n">
        <x:f>SUM(ABS(VALUE('Sheet2'!D90)-VALUE('Sheet2'!D89)),ABS(VALUE('Sheet2'!E90)-VALUE('Sheet2'!E89)),ABS(VALUE('Sheet2'!F90)-VALUE('Sheet2'!F89)),ABS(VALUE('Sheet2'!G90)-VALUE('Sheet2'!G89)),ABS(VALUE('Sheet2'!H90)-VALUE('Sheet2'!H89)),ABS(VALUE('Sheet2'!I90)-VALUE('Sheet2'!I89)),ABS(VALUE('Sheet2'!J90)-VALUE('Sheet2'!J89)),ABS(VALUE('Sheet2'!K90)-VALUE('Sheet2'!K89)),ABS(VALUE('Sheet2'!L90)-VALUE('Sheet2'!L89)),ABS(VALUE('Sheet2'!M90)-VALUE('Sheet2'!M89)),ABS(VALUE('Sheet2'!N90)-VALUE('Sheet2'!N89)),ABS(VALUE('Sheet2'!O90)-VALUE('Sheet2'!O89)),ABS(VALUE('Sheet2'!P90)-VALUE('Sheet2'!P89)))/2</x:f>
        <x:v>0.023150000000000004</x:v>
      </x:c>
      <x:c r="M90" t="n">
        <x:f>SUMSQ('Sheet2'!D90:P90)</x:f>
        <x:v>0.17715930000000002</x:v>
      </x:c>
      <x:c r="N90" t="n">
        <x:f>VALUE('Sheet2'!D90)</x:f>
        <x:v>0.0179</x:v>
      </x:c>
    </x:row>
    <x:row r="91">
      <x:c r="A91" t="str">
        <x:f>'Sheet2'!A91</x:f>
        <x:v>2024-12-20</x:v>
      </x:c>
      <x:c r="B91" t="n">
        <x:f>VALUE('Sheet2'!B91)</x:f>
        <x:v>0.907</x:v>
      </x:c>
      <x:c r="C91" t="n">
        <x:f>VALUE('Sheet2'!C91)</x:f>
        <x:v>0.9975</x:v>
      </x:c>
      <x:c r="D91" t="n">
        <x:f>IFERROR(B91/B90-1,"")</x:f>
        <x:v>-0.007984250246089841</x:v>
      </x:c>
      <x:c r="E91" t="n">
        <x:f>IFERROR(C91/C90-1,"")</x:f>
        <x:v>-0.0013015618742490132</x:v>
      </x:c>
      <x:c r="F91" t="n">
        <x:f>IFERROR(D91-E91,"")</x:f>
        <x:v>-0.006682688371840828</x:v>
      </x:c>
      <x:c r="G91" t="n">
        <x:f>MAX($B$2:B91)</x:f>
        <x:v>1.0115</x:v>
      </x:c>
      <x:c r="H91" t="n">
        <x:f>IFERROR(B91/G91-1,"")</x:f>
        <x:v>-0.10331191300049436</x:v>
      </x:c>
      <x:c r="I91" t="n">
        <x:f>MAX($C$2:C91)</x:f>
        <x:v>1.0422</x:v>
      </x:c>
      <x:c r="J91" t="n">
        <x:f>IFERROR(C91/I91-1,"")</x:f>
        <x:v>-0.042890040299366716</x:v>
      </x:c>
      <x:c r="K91" t="n">
        <x:f>MAX(ABS(VALUE('Sheet2'!D91)-VALUE('Sheet2'!D90)),ABS(VALUE('Sheet2'!E91)-VALUE('Sheet2'!E90)),ABS(VALUE('Sheet2'!F91)-VALUE('Sheet2'!F90)),ABS(VALUE('Sheet2'!G91)-VALUE('Sheet2'!G90)),ABS(VALUE('Sheet2'!H91)-VALUE('Sheet2'!H90)),ABS(VALUE('Sheet2'!I91)-VALUE('Sheet2'!I90)),ABS(VALUE('Sheet2'!J91)-VALUE('Sheet2'!J90)),ABS(VALUE('Sheet2'!K91)-VALUE('Sheet2'!K90)),ABS(VALUE('Sheet2'!L91)-VALUE('Sheet2'!L90)),ABS(VALUE('Sheet2'!M91)-VALUE('Sheet2'!M90)),ABS(VALUE('Sheet2'!N91)-VALUE('Sheet2'!N90)),ABS(VALUE('Sheet2'!O91)-VALUE('Sheet2'!O90)),ABS(VALUE('Sheet2'!P91)-VALUE('Sheet2'!P90)))</x:f>
        <x:v>0.0011000000000000038</x:v>
      </x:c>
      <x:c r="L91" t="n">
        <x:f>SUM(ABS(VALUE('Sheet2'!D91)-VALUE('Sheet2'!D90)),ABS(VALUE('Sheet2'!E91)-VALUE('Sheet2'!E90)),ABS(VALUE('Sheet2'!F91)-VALUE('Sheet2'!F90)),ABS(VALUE('Sheet2'!G91)-VALUE('Sheet2'!G90)),ABS(VALUE('Sheet2'!H91)-VALUE('Sheet2'!H90)),ABS(VALUE('Sheet2'!I91)-VALUE('Sheet2'!I90)),ABS(VALUE('Sheet2'!J91)-VALUE('Sheet2'!J90)),ABS(VALUE('Sheet2'!K91)-VALUE('Sheet2'!K90)),ABS(VALUE('Sheet2'!L91)-VALUE('Sheet2'!L90)),ABS(VALUE('Sheet2'!M91)-VALUE('Sheet2'!M90)),ABS(VALUE('Sheet2'!N91)-VALUE('Sheet2'!N90)),ABS(VALUE('Sheet2'!O91)-VALUE('Sheet2'!O90)),ABS(VALUE('Sheet2'!P91)-VALUE('Sheet2'!P90)))/2</x:f>
        <x:v>0.0017000000000000053</x:v>
      </x:c>
      <x:c r="M91" t="n">
        <x:f>SUMSQ('Sheet2'!D91:P91)</x:f>
        <x:v>0.17717934</x:v>
      </x:c>
      <x:c r="N91" t="n">
        <x:f>VALUE('Sheet2'!D91)</x:f>
        <x:v>0.0178</x:v>
      </x:c>
    </x:row>
    <x:row r="92">
      <x:c r="A92" t="str">
        <x:f>'Sheet2'!A92</x:f>
        <x:v>2024-12-27</x:v>
      </x:c>
      <x:c r="B92" t="n">
        <x:f>VALUE('Sheet2'!B92)</x:f>
        <x:v>0.9089</x:v>
      </x:c>
      <x:c r="C92" t="n">
        <x:f>VALUE('Sheet2'!C92)</x:f>
        <x:v>1.011</x:v>
      </x:c>
      <x:c r="D92" t="n">
        <x:f>IFERROR(B92/B91-1,"")</x:f>
        <x:v>0.002094818081587624</x:v>
      </x:c>
      <x:c r="E92" t="n">
        <x:f>IFERROR(C92/C91-1,"")</x:f>
        <x:v>0.013533834586465954</x:v>
      </x:c>
      <x:c r="F92" t="n">
        <x:f>IFERROR(D92-E92,"")</x:f>
        <x:v>-0.01143901650487833</x:v>
      </x:c>
      <x:c r="G92" t="n">
        <x:f>MAX($B$2:B92)</x:f>
        <x:v>1.0115</x:v>
      </x:c>
      <x:c r="H92" t="n">
        <x:f>IFERROR(B92/G92-1,"")</x:f>
        <x:v>-0.10143351458230354</x:v>
      </x:c>
      <x:c r="I92" t="n">
        <x:f>MAX($C$2:C92)</x:f>
        <x:v>1.0422</x:v>
      </x:c>
      <x:c r="J92" t="n">
        <x:f>IFERROR(C92/I92-1,"")</x:f>
        <x:v>-0.029936672423719113</x:v>
      </x:c>
      <x:c r="K92" t="n">
        <x:f>MAX(ABS(VALUE('Sheet2'!D92)-VALUE('Sheet2'!D91)),ABS(VALUE('Sheet2'!E92)-VALUE('Sheet2'!E91)),ABS(VALUE('Sheet2'!F92)-VALUE('Sheet2'!F91)),ABS(VALUE('Sheet2'!G92)-VALUE('Sheet2'!G91)),ABS(VALUE('Sheet2'!H92)-VALUE('Sheet2'!H91)),ABS(VALUE('Sheet2'!I92)-VALUE('Sheet2'!I91)),ABS(VALUE('Sheet2'!J92)-VALUE('Sheet2'!J91)),ABS(VALUE('Sheet2'!K92)-VALUE('Sheet2'!K91)),ABS(VALUE('Sheet2'!L92)-VALUE('Sheet2'!L91)),ABS(VALUE('Sheet2'!M92)-VALUE('Sheet2'!M91)),ABS(VALUE('Sheet2'!N92)-VALUE('Sheet2'!N91)),ABS(VALUE('Sheet2'!O92)-VALUE('Sheet2'!O91)),ABS(VALUE('Sheet2'!P92)-VALUE('Sheet2'!P91)))</x:f>
        <x:v>0.0012000000000000066</x:v>
      </x:c>
      <x:c r="L92" t="n">
        <x:f>SUM(ABS(VALUE('Sheet2'!D92)-VALUE('Sheet2'!D91)),ABS(VALUE('Sheet2'!E92)-VALUE('Sheet2'!E91)),ABS(VALUE('Sheet2'!F92)-VALUE('Sheet2'!F91)),ABS(VALUE('Sheet2'!G92)-VALUE('Sheet2'!G91)),ABS(VALUE('Sheet2'!H92)-VALUE('Sheet2'!H91)),ABS(VALUE('Sheet2'!I92)-VALUE('Sheet2'!I91)),ABS(VALUE('Sheet2'!J92)-VALUE('Sheet2'!J91)),ABS(VALUE('Sheet2'!K92)-VALUE('Sheet2'!K91)),ABS(VALUE('Sheet2'!L92)-VALUE('Sheet2'!L91)),ABS(VALUE('Sheet2'!M92)-VALUE('Sheet2'!M91)),ABS(VALUE('Sheet2'!N92)-VALUE('Sheet2'!N91)),ABS(VALUE('Sheet2'!O92)-VALUE('Sheet2'!O91)),ABS(VALUE('Sheet2'!P92)-VALUE('Sheet2'!P91)))/2</x:f>
        <x:v>0.001599999999999992</x:v>
      </x:c>
      <x:c r="M92" t="n">
        <x:f>SUMSQ('Sheet2'!D92:P92)</x:f>
        <x:v>0.17724596</x:v>
      </x:c>
      <x:c r="N92" t="n">
        <x:f>VALUE('Sheet2'!D92)</x:f>
        <x:v>0.0175</x:v>
      </x:c>
    </x:row>
    <x:row r="93">
      <x:c r="A93" t="str">
        <x:f>'Sheet2'!A93</x:f>
        <x:v>2024-12-31</x:v>
      </x:c>
      <x:c r="B93" t="n">
        <x:f>VALUE('Sheet2'!B93)</x:f>
        <x:v>0.9038</x:v>
      </x:c>
      <x:c r="C93" t="n">
        <x:f>VALUE('Sheet2'!C93)</x:f>
        <x:v>0.9993</x:v>
      </x:c>
      <x:c r="D93" t="n">
        <x:f>IFERROR(B93/B92-1,"")</x:f>
        <x:v>-0.00561117834745295</x:v>
      </x:c>
      <x:c r="E93" t="n">
        <x:f>IFERROR(C93/C92-1,"")</x:f>
        <x:v>-0.01157270029673585</x:v>
      </x:c>
      <x:c r="F93" t="n">
        <x:f>IFERROR(D93-E93,"")</x:f>
        <x:v>0.0059615219492829</x:v>
      </x:c>
      <x:c r="G93" t="n">
        <x:f>MAX($B$2:B93)</x:f>
        <x:v>1.0115</x:v>
      </x:c>
      <x:c r="H93" t="n">
        <x:f>IFERROR(B93/G93-1,"")</x:f>
        <x:v>-0.10647553138902621</x:v>
      </x:c>
      <x:c r="I93" t="n">
        <x:f>MAX($C$2:C93)</x:f>
        <x:v>1.0422</x:v>
      </x:c>
      <x:c r="J93" t="n">
        <x:f>IFERROR(C93/I93-1,"")</x:f>
        <x:v>-0.041162924582613725</x:v>
      </x:c>
      <x:c r="K93" t="n">
        <x:f>MAX(ABS(VALUE('Sheet2'!D93)-VALUE('Sheet2'!D92)),ABS(VALUE('Sheet2'!E93)-VALUE('Sheet2'!E92)),ABS(VALUE('Sheet2'!F93)-VALUE('Sheet2'!F92)),ABS(VALUE('Sheet2'!G93)-VALUE('Sheet2'!G92)),ABS(VALUE('Sheet2'!H93)-VALUE('Sheet2'!H92)),ABS(VALUE('Sheet2'!I93)-VALUE('Sheet2'!I92)),ABS(VALUE('Sheet2'!J93)-VALUE('Sheet2'!J92)),ABS(VALUE('Sheet2'!K93)-VALUE('Sheet2'!K92)),ABS(VALUE('Sheet2'!L93)-VALUE('Sheet2'!L92)),ABS(VALUE('Sheet2'!M93)-VALUE('Sheet2'!M92)),ABS(VALUE('Sheet2'!N93)-VALUE('Sheet2'!N92)),ABS(VALUE('Sheet2'!O93)-VALUE('Sheet2'!O92)),ABS(VALUE('Sheet2'!P93)-VALUE('Sheet2'!P92)))</x:f>
        <x:v>0.0031999999999999806</x:v>
      </x:c>
      <x:c r="L93" t="n">
        <x:f>SUM(ABS(VALUE('Sheet2'!D93)-VALUE('Sheet2'!D92)),ABS(VALUE('Sheet2'!E93)-VALUE('Sheet2'!E92)),ABS(VALUE('Sheet2'!F93)-VALUE('Sheet2'!F92)),ABS(VALUE('Sheet2'!G93)-VALUE('Sheet2'!G92)),ABS(VALUE('Sheet2'!H93)-VALUE('Sheet2'!H92)),ABS(VALUE('Sheet2'!I93)-VALUE('Sheet2'!I92)),ABS(VALUE('Sheet2'!J93)-VALUE('Sheet2'!J92)),ABS(VALUE('Sheet2'!K93)-VALUE('Sheet2'!K92)),ABS(VALUE('Sheet2'!L93)-VALUE('Sheet2'!L92)),ABS(VALUE('Sheet2'!M93)-VALUE('Sheet2'!M92)),ABS(VALUE('Sheet2'!N93)-VALUE('Sheet2'!N92)),ABS(VALUE('Sheet2'!O93)-VALUE('Sheet2'!O92)),ABS(VALUE('Sheet2'!P93)-VALUE('Sheet2'!P92)))/2</x:f>
        <x:v>0.003999999999999969</x:v>
      </x:c>
      <x:c r="M93" t="n">
        <x:f>SUMSQ('Sheet2'!D93:P93)</x:f>
        <x:v>0.17654314000000002</x:v>
      </x:c>
      <x:c r="N93" t="n">
        <x:f>VALUE('Sheet2'!D93)</x:f>
        <x:v>0.0174</x:v>
      </x:c>
    </x:row>
    <x:row r="94">
      <x:c r="A94" t="str">
        <x:f>'Sheet2'!A94</x:f>
        <x:v>2025-01-03</x:v>
      </x:c>
      <x:c r="B94" t="n">
        <x:f>VALUE('Sheet2'!B94)</x:f>
        <x:v>0.8875</x:v>
      </x:c>
      <x:c r="C94" t="n">
        <x:f>VALUE('Sheet2'!C94)</x:f>
        <x:v>0.9587</x:v>
      </x:c>
      <x:c r="D94" t="n">
        <x:f>IFERROR(B94/B93-1,"")</x:f>
        <x:v>-0.018034963487497335</x:v>
      </x:c>
      <x:c r="E94" t="n">
        <x:f>IFERROR(C94/C93-1,"")</x:f>
        <x:v>-0.04062843990793552</x:v>
      </x:c>
      <x:c r="F94" t="n">
        <x:f>IFERROR(D94-E94,"")</x:f>
        <x:v>0.022593476420438185</x:v>
      </x:c>
      <x:c r="G94" t="n">
        <x:f>MAX($B$2:B94)</x:f>
        <x:v>1.0115</x:v>
      </x:c>
      <x:c r="H94" t="n">
        <x:f>IFERROR(B94/G94-1,"")</x:f>
        <x:v>-0.12259021255561053</x:v>
      </x:c>
      <x:c r="I94" t="n">
        <x:f>MAX($C$2:C94)</x:f>
        <x:v>1.0422</x:v>
      </x:c>
      <x:c r="J94" t="n">
        <x:f>IFERROR(C94/I94-1,"")</x:f>
        <x:v>-0.08011897908270971</x:v>
      </x:c>
      <x:c r="K94" t="n">
        <x:f>MAX(ABS(VALUE('Sheet2'!D94)-VALUE('Sheet2'!D93)),ABS(VALUE('Sheet2'!E94)-VALUE('Sheet2'!E93)),ABS(VALUE('Sheet2'!F94)-VALUE('Sheet2'!F93)),ABS(VALUE('Sheet2'!G94)-VALUE('Sheet2'!G93)),ABS(VALUE('Sheet2'!H94)-VALUE('Sheet2'!H93)),ABS(VALUE('Sheet2'!I94)-VALUE('Sheet2'!I93)),ABS(VALUE('Sheet2'!J94)-VALUE('Sheet2'!J93)),ABS(VALUE('Sheet2'!K94)-VALUE('Sheet2'!K93)),ABS(VALUE('Sheet2'!L94)-VALUE('Sheet2'!L93)),ABS(VALUE('Sheet2'!M94)-VALUE('Sheet2'!M93)),ABS(VALUE('Sheet2'!N94)-VALUE('Sheet2'!N93)),ABS(VALUE('Sheet2'!O94)-VALUE('Sheet2'!O93)),ABS(VALUE('Sheet2'!P94)-VALUE('Sheet2'!P93)))</x:f>
        <x:v>0.0206</x:v>
      </x:c>
      <x:c r="L94" t="n">
        <x:f>SUM(ABS(VALUE('Sheet2'!D94)-VALUE('Sheet2'!D93)),ABS(VALUE('Sheet2'!E94)-VALUE('Sheet2'!E93)),ABS(VALUE('Sheet2'!F94)-VALUE('Sheet2'!F93)),ABS(VALUE('Sheet2'!G94)-VALUE('Sheet2'!G93)),ABS(VALUE('Sheet2'!H94)-VALUE('Sheet2'!H93)),ABS(VALUE('Sheet2'!I94)-VALUE('Sheet2'!I93)),ABS(VALUE('Sheet2'!J94)-VALUE('Sheet2'!J93)),ABS(VALUE('Sheet2'!K94)-VALUE('Sheet2'!K93)),ABS(VALUE('Sheet2'!L94)-VALUE('Sheet2'!L93)),ABS(VALUE('Sheet2'!M94)-VALUE('Sheet2'!M93)),ABS(VALUE('Sheet2'!N94)-VALUE('Sheet2'!N93)),ABS(VALUE('Sheet2'!O94)-VALUE('Sheet2'!O93)),ABS(VALUE('Sheet2'!P94)-VALUE('Sheet2'!P93)))/2</x:f>
        <x:v>0.024650000000000036</x:v>
      </x:c>
      <x:c r="M94" t="n">
        <x:f>SUMSQ('Sheet2'!D94:P94)</x:f>
        <x:v>0.16815915</x:v>
      </x:c>
      <x:c r="N94" t="n">
        <x:f>VALUE('Sheet2'!D94)</x:f>
        <x:v>0.038</x:v>
      </x:c>
    </x:row>
    <x:row r="95">
      <x:c r="A95" t="str">
        <x:f>'Sheet2'!A95</x:f>
        <x:v>2025-01-10</x:v>
      </x:c>
      <x:c r="B95" t="n">
        <x:f>VALUE('Sheet2'!B95)</x:f>
        <x:v>0.8818</x:v>
      </x:c>
      <x:c r="C95" t="n">
        <x:f>VALUE('Sheet2'!C95)</x:f>
        <x:v>0.9479</x:v>
      </x:c>
      <x:c r="D95" t="n">
        <x:f>IFERROR(B95/B94-1,"")</x:f>
        <x:v>-0.006422535211267566</x:v>
      </x:c>
      <x:c r="E95" t="n">
        <x:f>IFERROR(C95/C94-1,"")</x:f>
        <x:v>-0.011265255032857024</x:v>
      </x:c>
      <x:c r="F95" t="n">
        <x:f>IFERROR(D95-E95,"")</x:f>
        <x:v>0.0048427198215894585</x:v>
      </x:c>
      <x:c r="G95" t="n">
        <x:f>MAX($B$2:B95)</x:f>
        <x:v>1.0115</x:v>
      </x:c>
      <x:c r="H95" t="n">
        <x:f>IFERROR(B95/G95-1,"")</x:f>
        <x:v>-0.12822540781018288</x:v>
      </x:c>
      <x:c r="I95" t="n">
        <x:f>MAX($C$2:C95)</x:f>
        <x:v>1.0422</x:v>
      </x:c>
      <x:c r="J95" t="n">
        <x:f>IFERROR(C95/I95-1,"")</x:f>
        <x:v>-0.09048167338322788</x:v>
      </x:c>
      <x:c r="K95" t="n">
        <x:f>MAX(ABS(VALUE('Sheet2'!D95)-VALUE('Sheet2'!D94)),ABS(VALUE('Sheet2'!E95)-VALUE('Sheet2'!E94)),ABS(VALUE('Sheet2'!F95)-VALUE('Sheet2'!F94)),ABS(VALUE('Sheet2'!G95)-VALUE('Sheet2'!G94)),ABS(VALUE('Sheet2'!H95)-VALUE('Sheet2'!H94)),ABS(VALUE('Sheet2'!I95)-VALUE('Sheet2'!I94)),ABS(VALUE('Sheet2'!J95)-VALUE('Sheet2'!J94)),ABS(VALUE('Sheet2'!K95)-VALUE('Sheet2'!K94)),ABS(VALUE('Sheet2'!L95)-VALUE('Sheet2'!L94)),ABS(VALUE('Sheet2'!M95)-VALUE('Sheet2'!M94)),ABS(VALUE('Sheet2'!N95)-VALUE('Sheet2'!N94)),ABS(VALUE('Sheet2'!O95)-VALUE('Sheet2'!O94)),ABS(VALUE('Sheet2'!P95)-VALUE('Sheet2'!P94)))</x:f>
        <x:v>0.02210000000000001</x:v>
      </x:c>
      <x:c r="L95" t="n">
        <x:f>SUM(ABS(VALUE('Sheet2'!D95)-VALUE('Sheet2'!D94)),ABS(VALUE('Sheet2'!E95)-VALUE('Sheet2'!E94)),ABS(VALUE('Sheet2'!F95)-VALUE('Sheet2'!F94)),ABS(VALUE('Sheet2'!G95)-VALUE('Sheet2'!G94)),ABS(VALUE('Sheet2'!H95)-VALUE('Sheet2'!H94)),ABS(VALUE('Sheet2'!I95)-VALUE('Sheet2'!I94)),ABS(VALUE('Sheet2'!J95)-VALUE('Sheet2'!J94)),ABS(VALUE('Sheet2'!K95)-VALUE('Sheet2'!K94)),ABS(VALUE('Sheet2'!L95)-VALUE('Sheet2'!L94)),ABS(VALUE('Sheet2'!M95)-VALUE('Sheet2'!M94)),ABS(VALUE('Sheet2'!N95)-VALUE('Sheet2'!N94)),ABS(VALUE('Sheet2'!O95)-VALUE('Sheet2'!O94)),ABS(VALUE('Sheet2'!P95)-VALUE('Sheet2'!P94)))/2</x:f>
        <x:v>0.024149999999999994</x:v>
      </x:c>
      <x:c r="M95" t="n">
        <x:f>SUMSQ('Sheet2'!D95:P95)</x:f>
        <x:v>0.17566678</x:v>
      </x:c>
      <x:c r="N95" t="n">
        <x:f>VALUE('Sheet2'!D95)</x:f>
        <x:v>0.0174</x:v>
      </x:c>
    </x:row>
    <x:row r="96">
      <x:c r="A96" t="str">
        <x:f>'Sheet2'!A96</x:f>
        <x:v>2025-01-17</x:v>
      </x:c>
      <x:c r="B96" t="n">
        <x:f>VALUE('Sheet2'!B96)</x:f>
        <x:v>0.8931</x:v>
      </x:c>
      <x:c r="C96" t="n">
        <x:f>VALUE('Sheet2'!C96)</x:f>
        <x:v>0.9681</x:v>
      </x:c>
      <x:c r="D96" t="n">
        <x:f>IFERROR(B96/B95-1,"")</x:f>
        <x:v>0.012814697210251635</x:v>
      </x:c>
      <x:c r="E96" t="n">
        <x:f>IFERROR(C96/C95-1,"")</x:f>
        <x:v>0.02131026479586451</x:v>
      </x:c>
      <x:c r="F96" t="n">
        <x:f>IFERROR(D96-E96,"")</x:f>
        <x:v>-0.008495567585612873</x:v>
      </x:c>
      <x:c r="G96" t="n">
        <x:f>MAX($B$2:B96)</x:f>
        <x:v>1.0115</x:v>
      </x:c>
      <x:c r="H96" t="n">
        <x:f>IFERROR(B96/G96-1,"")</x:f>
        <x:v>-0.11705388037567976</x:v>
      </x:c>
      <x:c r="I96" t="n">
        <x:f>MAX($C$2:C96)</x:f>
        <x:v>1.0422</x:v>
      </x:c>
      <x:c r="J96" t="n">
        <x:f>IFERROR(C96/I96-1,"")</x:f>
        <x:v>-0.07109959700633284</x:v>
      </x:c>
      <x:c r="K96" t="n">
        <x:f>MAX(ABS(VALUE('Sheet2'!D96)-VALUE('Sheet2'!D95)),ABS(VALUE('Sheet2'!E96)-VALUE('Sheet2'!E95)),ABS(VALUE('Sheet2'!F96)-VALUE('Sheet2'!F95)),ABS(VALUE('Sheet2'!G96)-VALUE('Sheet2'!G95)),ABS(VALUE('Sheet2'!H96)-VALUE('Sheet2'!H95)),ABS(VALUE('Sheet2'!I96)-VALUE('Sheet2'!I95)),ABS(VALUE('Sheet2'!J96)-VALUE('Sheet2'!J95)),ABS(VALUE('Sheet2'!K96)-VALUE('Sheet2'!K95)),ABS(VALUE('Sheet2'!L96)-VALUE('Sheet2'!L95)),ABS(VALUE('Sheet2'!M96)-VALUE('Sheet2'!M95)),ABS(VALUE('Sheet2'!N96)-VALUE('Sheet2'!N95)),ABS(VALUE('Sheet2'!O96)-VALUE('Sheet2'!O95)),ABS(VALUE('Sheet2'!P96)-VALUE('Sheet2'!P95)))</x:f>
        <x:v>0.013599999999999987</x:v>
      </x:c>
      <x:c r="L96" t="n">
        <x:f>SUM(ABS(VALUE('Sheet2'!D96)-VALUE('Sheet2'!D95)),ABS(VALUE('Sheet2'!E96)-VALUE('Sheet2'!E95)),ABS(VALUE('Sheet2'!F96)-VALUE('Sheet2'!F95)),ABS(VALUE('Sheet2'!G96)-VALUE('Sheet2'!G95)),ABS(VALUE('Sheet2'!H96)-VALUE('Sheet2'!H95)),ABS(VALUE('Sheet2'!I96)-VALUE('Sheet2'!I95)),ABS(VALUE('Sheet2'!J96)-VALUE('Sheet2'!J95)),ABS(VALUE('Sheet2'!K96)-VALUE('Sheet2'!K95)),ABS(VALUE('Sheet2'!L96)-VALUE('Sheet2'!L95)),ABS(VALUE('Sheet2'!M96)-VALUE('Sheet2'!M95)),ABS(VALUE('Sheet2'!N96)-VALUE('Sheet2'!N95)),ABS(VALUE('Sheet2'!O96)-VALUE('Sheet2'!O95)),ABS(VALUE('Sheet2'!P96)-VALUE('Sheet2'!P95)))/2</x:f>
        <x:v>0.018499999999999992</x:v>
      </x:c>
      <x:c r="M96" t="n">
        <x:f>SUMSQ('Sheet2'!D96:P96)</x:f>
        <x:v>0.1742845</x:v>
      </x:c>
      <x:c r="N96" t="n">
        <x:f>VALUE('Sheet2'!D96)</x:f>
        <x:v>0.0284</x:v>
      </x:c>
    </x:row>
    <x:row r="97">
      <x:c r="A97" t="str">
        <x:f>'Sheet2'!A97</x:f>
        <x:v>2025-01-24</x:v>
      </x:c>
      <x:c r="B97" t="n">
        <x:f>VALUE('Sheet2'!B97)</x:f>
        <x:v>0.8957</x:v>
      </x:c>
      <x:c r="C97" t="n">
        <x:f>VALUE('Sheet2'!C97)</x:f>
        <x:v>0.9734</x:v>
      </x:c>
      <x:c r="D97" t="n">
        <x:f>IFERROR(B97/B96-1,"")</x:f>
        <x:v>0.0029112081513829047</x:v>
      </x:c>
      <x:c r="E97" t="n">
        <x:f>IFERROR(C97/C96-1,"")</x:f>
        <x:v>0.005474641049478368</x:v>
      </x:c>
      <x:c r="F97" t="n">
        <x:f>IFERROR(D97-E97,"")</x:f>
        <x:v>-0.0025634328980954635</x:v>
      </x:c>
      <x:c r="G97" t="n">
        <x:f>MAX($B$2:B97)</x:f>
        <x:v>1.0115</x:v>
      </x:c>
      <x:c r="H97" t="n">
        <x:f>IFERROR(B97/G97-1,"")</x:f>
        <x:v>-0.11448344043499759</x:v>
      </x:c>
      <x:c r="I97" t="n">
        <x:f>MAX($C$2:C97)</x:f>
        <x:v>1.0422</x:v>
      </x:c>
      <x:c r="J97" t="n">
        <x:f>IFERROR(C97/I97-1,"")</x:f>
        <x:v>-0.06601420072922659</x:v>
      </x:c>
      <x:c r="K97" t="n">
        <x:f>MAX(ABS(VALUE('Sheet2'!D97)-VALUE('Sheet2'!D96)),ABS(VALUE('Sheet2'!E97)-VALUE('Sheet2'!E96)),ABS(VALUE('Sheet2'!F97)-VALUE('Sheet2'!F96)),ABS(VALUE('Sheet2'!G97)-VALUE('Sheet2'!G96)),ABS(VALUE('Sheet2'!H97)-VALUE('Sheet2'!H96)),ABS(VALUE('Sheet2'!I97)-VALUE('Sheet2'!I96)),ABS(VALUE('Sheet2'!J97)-VALUE('Sheet2'!J96)),ABS(VALUE('Sheet2'!K97)-VALUE('Sheet2'!K96)),ABS(VALUE('Sheet2'!L97)-VALUE('Sheet2'!L96)),ABS(VALUE('Sheet2'!M97)-VALUE('Sheet2'!M96)),ABS(VALUE('Sheet2'!N97)-VALUE('Sheet2'!N96)),ABS(VALUE('Sheet2'!O97)-VALUE('Sheet2'!O96)),ABS(VALUE('Sheet2'!P97)-VALUE('Sheet2'!P96)))</x:f>
        <x:v>0.0025000000000000022</x:v>
      </x:c>
      <x:c r="L97" t="n">
        <x:f>SUM(ABS(VALUE('Sheet2'!D97)-VALUE('Sheet2'!D96)),ABS(VALUE('Sheet2'!E97)-VALUE('Sheet2'!E96)),ABS(VALUE('Sheet2'!F97)-VALUE('Sheet2'!F96)),ABS(VALUE('Sheet2'!G97)-VALUE('Sheet2'!G96)),ABS(VALUE('Sheet2'!H97)-VALUE('Sheet2'!H96)),ABS(VALUE('Sheet2'!I97)-VALUE('Sheet2'!I96)),ABS(VALUE('Sheet2'!J97)-VALUE('Sheet2'!J96)),ABS(VALUE('Sheet2'!K97)-VALUE('Sheet2'!K96)),ABS(VALUE('Sheet2'!L97)-VALUE('Sheet2'!L96)),ABS(VALUE('Sheet2'!M97)-VALUE('Sheet2'!M96)),ABS(VALUE('Sheet2'!N97)-VALUE('Sheet2'!N96)),ABS(VALUE('Sheet2'!O97)-VALUE('Sheet2'!O96)),ABS(VALUE('Sheet2'!P97)-VALUE('Sheet2'!P96)))/2</x:f>
        <x:v>0.003499999999999991</x:v>
      </x:c>
      <x:c r="M97" t="n">
        <x:f>SUMSQ('Sheet2'!D97:P97)</x:f>
        <x:v>0.17460868</x:v>
      </x:c>
      <x:c r="N97" t="n">
        <x:f>VALUE('Sheet2'!D97)</x:f>
        <x:v>0.028</x:v>
      </x:c>
    </x:row>
    <x:row r="98">
      <x:c r="A98" t="str">
        <x:f>'Sheet2'!A98</x:f>
        <x:v>2025-01-27</x:v>
      </x:c>
      <x:c r="B98" t="n">
        <x:f>VALUE('Sheet2'!B98)</x:f>
        <x:v>0.8959</x:v>
      </x:c>
      <x:c r="C98" t="n">
        <x:f>VALUE('Sheet2'!C98)</x:f>
        <x:v>0.9694</x:v>
      </x:c>
      <x:c r="D98" t="n">
        <x:f>IFERROR(B98/B97-1,"")</x:f>
        <x:v>0.0002232890476721039</x:v>
      </x:c>
      <x:c r="E98" t="n">
        <x:f>IFERROR(C98/C97-1,"")</x:f>
        <x:v>-0.0041093075816724944</x:v>
      </x:c>
      <x:c r="F98" t="n">
        <x:f>IFERROR(D98-E98,"")</x:f>
        <x:v>0.004332596629344598</x:v>
      </x:c>
      <x:c r="G98" t="n">
        <x:f>MAX($B$2:B98)</x:f>
        <x:v>1.0115</x:v>
      </x:c>
      <x:c r="H98" t="n">
        <x:f>IFERROR(B98/G98-1,"")</x:f>
        <x:v>-0.11428571428571432</x:v>
      </x:c>
      <x:c r="I98" t="n">
        <x:f>MAX($C$2:C98)</x:f>
        <x:v>1.0422</x:v>
      </x:c>
      <x:c r="J98" t="n">
        <x:f>IFERROR(C98/I98-1,"")</x:f>
        <x:v>-0.06985223565534449</x:v>
      </x:c>
      <x:c r="K98" t="n">
        <x:f>MAX(ABS(VALUE('Sheet2'!D98)-VALUE('Sheet2'!D97)),ABS(VALUE('Sheet2'!E98)-VALUE('Sheet2'!E97)),ABS(VALUE('Sheet2'!F98)-VALUE('Sheet2'!F97)),ABS(VALUE('Sheet2'!G98)-VALUE('Sheet2'!G97)),ABS(VALUE('Sheet2'!H98)-VALUE('Sheet2'!H97)),ABS(VALUE('Sheet2'!I98)-VALUE('Sheet2'!I97)),ABS(VALUE('Sheet2'!J98)-VALUE('Sheet2'!J97)),ABS(VALUE('Sheet2'!K98)-VALUE('Sheet2'!K97)),ABS(VALUE('Sheet2'!L98)-VALUE('Sheet2'!L97)),ABS(VALUE('Sheet2'!M98)-VALUE('Sheet2'!M97)),ABS(VALUE('Sheet2'!N98)-VALUE('Sheet2'!N97)),ABS(VALUE('Sheet2'!O98)-VALUE('Sheet2'!O97)),ABS(VALUE('Sheet2'!P98)-VALUE('Sheet2'!P97)))</x:f>
        <x:v>0.0016999999999999793</x:v>
      </x:c>
      <x:c r="L98" t="n">
        <x:f>SUM(ABS(VALUE('Sheet2'!D98)-VALUE('Sheet2'!D97)),ABS(VALUE('Sheet2'!E98)-VALUE('Sheet2'!E97)),ABS(VALUE('Sheet2'!F98)-VALUE('Sheet2'!F97)),ABS(VALUE('Sheet2'!G98)-VALUE('Sheet2'!G97)),ABS(VALUE('Sheet2'!H98)-VALUE('Sheet2'!H97)),ABS(VALUE('Sheet2'!I98)-VALUE('Sheet2'!I97)),ABS(VALUE('Sheet2'!J98)-VALUE('Sheet2'!J97)),ABS(VALUE('Sheet2'!K98)-VALUE('Sheet2'!K97)),ABS(VALUE('Sheet2'!L98)-VALUE('Sheet2'!L97)),ABS(VALUE('Sheet2'!M98)-VALUE('Sheet2'!M97)),ABS(VALUE('Sheet2'!N98)-VALUE('Sheet2'!N97)),ABS(VALUE('Sheet2'!O98)-VALUE('Sheet2'!O97)),ABS(VALUE('Sheet2'!P98)-VALUE('Sheet2'!P97)))/2</x:f>
        <x:v>0.002100000000000003</x:v>
      </x:c>
      <x:c r="M98" t="n">
        <x:f>SUMSQ('Sheet2'!D98:P98)</x:f>
        <x:v>0.1742246</x:v>
      </x:c>
      <x:c r="N98" t="n">
        <x:f>VALUE('Sheet2'!D98)</x:f>
        <x:v>0.0279</x:v>
      </x:c>
    </x:row>
    <x:row r="99">
      <x:c r="A99" t="str">
        <x:f>'Sheet2'!A99</x:f>
        <x:v>2025-02-07</x:v>
      </x:c>
      <x:c r="B99" t="n">
        <x:f>VALUE('Sheet2'!B99)</x:f>
        <x:v>0.9152</x:v>
      </x:c>
      <x:c r="C99" t="n">
        <x:f>VALUE('Sheet2'!C99)</x:f>
        <x:v>0.9886</x:v>
      </x:c>
      <x:c r="D99" t="n">
        <x:f>IFERROR(B99/B98-1,"")</x:f>
        <x:v>0.021542582877553285</x:v>
      </x:c>
      <x:c r="E99" t="n">
        <x:f>IFERROR(C99/C98-1,"")</x:f>
        <x:v>0.019806065607592238</x:v>
      </x:c>
      <x:c r="F99" t="n">
        <x:f>IFERROR(D99-E99,"")</x:f>
        <x:v>0.0017365172699610465</x:v>
      </x:c>
      <x:c r="G99" t="n">
        <x:f>MAX($B$2:B99)</x:f>
        <x:v>1.0115</x:v>
      </x:c>
      <x:c r="H99" t="n">
        <x:f>IFERROR(B99/G99-1,"")</x:f>
        <x:v>-0.09520514087988141</x:v>
      </x:c>
      <x:c r="I99" t="n">
        <x:f>MAX($C$2:C99)</x:f>
        <x:v>1.0422</x:v>
      </x:c>
      <x:c r="J99" t="n">
        <x:f>IFERROR(C99/I99-1,"")</x:f>
        <x:v>-0.051429668009978835</x:v>
      </x:c>
      <x:c r="K99" t="n">
        <x:f>MAX(ABS(VALUE('Sheet2'!D99)-VALUE('Sheet2'!D98)),ABS(VALUE('Sheet2'!E99)-VALUE('Sheet2'!E98)),ABS(VALUE('Sheet2'!F99)-VALUE('Sheet2'!F98)),ABS(VALUE('Sheet2'!G99)-VALUE('Sheet2'!G98)),ABS(VALUE('Sheet2'!H99)-VALUE('Sheet2'!H98)),ABS(VALUE('Sheet2'!I99)-VALUE('Sheet2'!I98)),ABS(VALUE('Sheet2'!J99)-VALUE('Sheet2'!J98)),ABS(VALUE('Sheet2'!K99)-VALUE('Sheet2'!K98)),ABS(VALUE('Sheet2'!L99)-VALUE('Sheet2'!L98)),ABS(VALUE('Sheet2'!M99)-VALUE('Sheet2'!M98)),ABS(VALUE('Sheet2'!N99)-VALUE('Sheet2'!N98)),ABS(VALUE('Sheet2'!O99)-VALUE('Sheet2'!O98)),ABS(VALUE('Sheet2'!P99)-VALUE('Sheet2'!P98)))</x:f>
        <x:v>0.005499999999999977</x:v>
      </x:c>
      <x:c r="L99" t="n">
        <x:f>SUM(ABS(VALUE('Sheet2'!D99)-VALUE('Sheet2'!D98)),ABS(VALUE('Sheet2'!E99)-VALUE('Sheet2'!E98)),ABS(VALUE('Sheet2'!F99)-VALUE('Sheet2'!F98)),ABS(VALUE('Sheet2'!G99)-VALUE('Sheet2'!G98)),ABS(VALUE('Sheet2'!H99)-VALUE('Sheet2'!H98)),ABS(VALUE('Sheet2'!I99)-VALUE('Sheet2'!I98)),ABS(VALUE('Sheet2'!J99)-VALUE('Sheet2'!J98)),ABS(VALUE('Sheet2'!K99)-VALUE('Sheet2'!K98)),ABS(VALUE('Sheet2'!L99)-VALUE('Sheet2'!L98)),ABS(VALUE('Sheet2'!M99)-VALUE('Sheet2'!M98)),ABS(VALUE('Sheet2'!N99)-VALUE('Sheet2'!N98)),ABS(VALUE('Sheet2'!O99)-VALUE('Sheet2'!O98)),ABS(VALUE('Sheet2'!P99)-VALUE('Sheet2'!P98)))/2</x:f>
        <x:v>0.00814999999999997</x:v>
      </x:c>
      <x:c r="M99" t="n">
        <x:f>SUMSQ('Sheet2'!D99:P99)</x:f>
        <x:v>0.17511889</x:v>
      </x:c>
      <x:c r="N99" t="n">
        <x:f>VALUE('Sheet2'!D99)</x:f>
        <x:v>0.0269</x:v>
      </x:c>
    </x:row>
    <x:row r="100">
      <x:c r="A100" t="str">
        <x:f>'Sheet2'!A100</x:f>
        <x:v>2025-02-14</x:v>
      </x:c>
      <x:c r="B100" t="n">
        <x:f>VALUE('Sheet2'!B100)</x:f>
        <x:v>0.9297</x:v>
      </x:c>
      <x:c r="C100" t="n">
        <x:f>VALUE('Sheet2'!C100)</x:f>
        <x:v>1.0003</x:v>
      </x:c>
      <x:c r="D100" t="n">
        <x:f>IFERROR(B100/B99-1,"")</x:f>
        <x:v>0.015843531468531458</x:v>
      </x:c>
      <x:c r="E100" t="n">
        <x:f>IFERROR(C100/C99-1,"")</x:f>
        <x:v>0.011834918065951827</x:v>
      </x:c>
      <x:c r="F100" t="n">
        <x:f>IFERROR(D100-E100,"")</x:f>
        <x:v>0.0040086134025796305</x:v>
      </x:c>
      <x:c r="G100" t="n">
        <x:f>MAX($B$2:B100)</x:f>
        <x:v>1.0115</x:v>
      </x:c>
      <x:c r="H100" t="n">
        <x:f>IFERROR(B100/G100-1,"")</x:f>
        <x:v>-0.08086999505684633</x:v>
      </x:c>
      <x:c r="I100" t="n">
        <x:f>MAX($C$2:C100)</x:f>
        <x:v>1.0422</x:v>
      </x:c>
      <x:c r="J100" t="n">
        <x:f>IFERROR(C100/I100-1,"")</x:f>
        <x:v>-0.040203415851084334</x:v>
      </x:c>
      <x:c r="K100" t="n">
        <x:f>MAX(ABS(VALUE('Sheet2'!D100)-VALUE('Sheet2'!D99)),ABS(VALUE('Sheet2'!E100)-VALUE('Sheet2'!E99)),ABS(VALUE('Sheet2'!F100)-VALUE('Sheet2'!F99)),ABS(VALUE('Sheet2'!G100)-VALUE('Sheet2'!G99)),ABS(VALUE('Sheet2'!H100)-VALUE('Sheet2'!H99)),ABS(VALUE('Sheet2'!I100)-VALUE('Sheet2'!I99)),ABS(VALUE('Sheet2'!J100)-VALUE('Sheet2'!J99)),ABS(VALUE('Sheet2'!K100)-VALUE('Sheet2'!K99)),ABS(VALUE('Sheet2'!L100)-VALUE('Sheet2'!L99)),ABS(VALUE('Sheet2'!M100)-VALUE('Sheet2'!M99)),ABS(VALUE('Sheet2'!N100)-VALUE('Sheet2'!N99)),ABS(VALUE('Sheet2'!O100)-VALUE('Sheet2'!O99)),ABS(VALUE('Sheet2'!P100)-VALUE('Sheet2'!P99)))</x:f>
        <x:v>0.1298</x:v>
      </x:c>
      <x:c r="L100" t="n">
        <x:f>SUM(ABS(VALUE('Sheet2'!D100)-VALUE('Sheet2'!D99)),ABS(VALUE('Sheet2'!E100)-VALUE('Sheet2'!E99)),ABS(VALUE('Sheet2'!F100)-VALUE('Sheet2'!F99)),ABS(VALUE('Sheet2'!G100)-VALUE('Sheet2'!G99)),ABS(VALUE('Sheet2'!H100)-VALUE('Sheet2'!H99)),ABS(VALUE('Sheet2'!I100)-VALUE('Sheet2'!I99)),ABS(VALUE('Sheet2'!J100)-VALUE('Sheet2'!J99)),ABS(VALUE('Sheet2'!K100)-VALUE('Sheet2'!K99)),ABS(VALUE('Sheet2'!L100)-VALUE('Sheet2'!L99)),ABS(VALUE('Sheet2'!M100)-VALUE('Sheet2'!M99)),ABS(VALUE('Sheet2'!N100)-VALUE('Sheet2'!N99)),ABS(VALUE('Sheet2'!O100)-VALUE('Sheet2'!O99)),ABS(VALUE('Sheet2'!P100)-VALUE('Sheet2'!P99)))/2</x:f>
        <x:v>0.13300000000000003</x:v>
      </x:c>
      <x:c r="M100" t="n">
        <x:f>SUMSQ('Sheet2'!D100:P100)</x:f>
        <x:v>0.18152059</x:v>
      </x:c>
      <x:c r="N100" t="n">
        <x:f>VALUE('Sheet2'!D100)</x:f>
        <x:v>0.1429</x:v>
      </x:c>
    </x:row>
    <x:row r="101">
      <x:c r="A101" t="str">
        <x:f>'Sheet2'!A101</x:f>
        <x:v>2025-02-21</x:v>
      </x:c>
      <x:c r="B101" t="n">
        <x:f>VALUE('Sheet2'!B101)</x:f>
        <x:v>0.9417</x:v>
      </x:c>
      <x:c r="C101" t="n">
        <x:f>VALUE('Sheet2'!C101)</x:f>
        <x:v>1.0103</x:v>
      </x:c>
      <x:c r="D101" t="n">
        <x:f>IFERROR(B101/B100-1,"")</x:f>
        <x:v>0.012907389480477649</x:v>
      </x:c>
      <x:c r="E101" t="n">
        <x:f>IFERROR(C101/C100-1,"")</x:f>
        <x:v>0.009997000899730102</x:v>
      </x:c>
      <x:c r="F101" t="n">
        <x:f>IFERROR(D101-E101,"")</x:f>
        <x:v>0.002910388580747547</x:v>
      </x:c>
      <x:c r="G101" t="n">
        <x:f>MAX($B$2:B101)</x:f>
        <x:v>1.0115</x:v>
      </x:c>
      <x:c r="H101" t="n">
        <x:f>IFERROR(B101/G101-1,"")</x:f>
        <x:v>-0.06900642609985175</x:v>
      </x:c>
      <x:c r="I101" t="n">
        <x:f>MAX($C$2:C101)</x:f>
        <x:v>1.0422</x:v>
      </x:c>
      <x:c r="J101" t="n">
        <x:f>IFERROR(C101/I101-1,"")</x:f>
        <x:v>-0.030608328535789764</x:v>
      </x:c>
      <x:c r="K101" t="n">
        <x:f>MAX(ABS(VALUE('Sheet2'!D101)-VALUE('Sheet2'!D100)),ABS(VALUE('Sheet2'!E101)-VALUE('Sheet2'!E100)),ABS(VALUE('Sheet2'!F101)-VALUE('Sheet2'!F100)),ABS(VALUE('Sheet2'!G101)-VALUE('Sheet2'!G100)),ABS(VALUE('Sheet2'!H101)-VALUE('Sheet2'!H100)),ABS(VALUE('Sheet2'!I101)-VALUE('Sheet2'!I100)),ABS(VALUE('Sheet2'!J101)-VALUE('Sheet2'!J100)),ABS(VALUE('Sheet2'!K101)-VALUE('Sheet2'!K100)),ABS(VALUE('Sheet2'!L101)-VALUE('Sheet2'!L100)),ABS(VALUE('Sheet2'!M101)-VALUE('Sheet2'!M100)),ABS(VALUE('Sheet2'!N101)-VALUE('Sheet2'!N100)),ABS(VALUE('Sheet2'!O101)-VALUE('Sheet2'!O100)),ABS(VALUE('Sheet2'!P101)-VALUE('Sheet2'!P100)))</x:f>
        <x:v>0.11000000000000004</x:v>
      </x:c>
      <x:c r="L101" t="n">
        <x:f>SUM(ABS(VALUE('Sheet2'!D101)-VALUE('Sheet2'!D100)),ABS(VALUE('Sheet2'!E101)-VALUE('Sheet2'!E100)),ABS(VALUE('Sheet2'!F101)-VALUE('Sheet2'!F100)),ABS(VALUE('Sheet2'!G101)-VALUE('Sheet2'!G100)),ABS(VALUE('Sheet2'!H101)-VALUE('Sheet2'!H100)),ABS(VALUE('Sheet2'!I101)-VALUE('Sheet2'!I100)),ABS(VALUE('Sheet2'!J101)-VALUE('Sheet2'!J100)),ABS(VALUE('Sheet2'!K101)-VALUE('Sheet2'!K100)),ABS(VALUE('Sheet2'!L101)-VALUE('Sheet2'!L100)),ABS(VALUE('Sheet2'!M101)-VALUE('Sheet2'!M100)),ABS(VALUE('Sheet2'!N101)-VALUE('Sheet2'!N100)),ABS(VALUE('Sheet2'!O101)-VALUE('Sheet2'!O100)),ABS(VALUE('Sheet2'!P101)-VALUE('Sheet2'!P100)))/2</x:f>
        <x:v>0.11155000000000002</x:v>
      </x:c>
      <x:c r="M101" t="n">
        <x:f>SUMSQ('Sheet2'!D101:P101)</x:f>
        <x:v>0.22949366000000002</x:v>
      </x:c>
      <x:c r="N101" t="n">
        <x:f>VALUE('Sheet2'!D101)</x:f>
        <x:v>0.0344</x:v>
      </x:c>
    </x:row>
    <x:row r="102">
      <x:c r="A102" t="str">
        <x:f>'Sheet2'!A102</x:f>
        <x:v>2025-02-28</x:v>
      </x:c>
      <x:c r="B102" t="n">
        <x:f>VALUE('Sheet2'!B102)</x:f>
        <x:v>0.9261</x:v>
      </x:c>
      <x:c r="C102" t="n">
        <x:f>VALUE('Sheet2'!C102)</x:f>
        <x:v>0.9879</x:v>
      </x:c>
      <x:c r="D102" t="n">
        <x:f>IFERROR(B102/B101-1,"")</x:f>
        <x:v>-0.016565785281936862</x:v>
      </x:c>
      <x:c r="E102" t="n">
        <x:f>IFERROR(C102/C101-1,"")</x:f>
        <x:v>-0.022171632188458856</x:v>
      </x:c>
      <x:c r="F102" t="n">
        <x:f>IFERROR(D102-E102,"")</x:f>
        <x:v>0.005605846906521994</x:v>
      </x:c>
      <x:c r="G102" t="n">
        <x:f>MAX($B$2:B102)</x:f>
        <x:v>1.0115</x:v>
      </x:c>
      <x:c r="H102" t="n">
        <x:f>IFERROR(B102/G102-1,"")</x:f>
        <x:v>-0.08442906574394471</x:v>
      </x:c>
      <x:c r="I102" t="n">
        <x:f>MAX($C$2:C102)</x:f>
        <x:v>1.0422</x:v>
      </x:c>
      <x:c r="J102" t="n">
        <x:f>IFERROR(C102/I102-1,"")</x:f>
        <x:v>-0.052101324122049486</x:v>
      </x:c>
      <x:c r="K102" t="n">
        <x:f>MAX(ABS(VALUE('Sheet2'!D102)-VALUE('Sheet2'!D101)),ABS(VALUE('Sheet2'!E102)-VALUE('Sheet2'!E101)),ABS(VALUE('Sheet2'!F102)-VALUE('Sheet2'!F101)),ABS(VALUE('Sheet2'!G102)-VALUE('Sheet2'!G101)),ABS(VALUE('Sheet2'!H102)-VALUE('Sheet2'!H101)),ABS(VALUE('Sheet2'!I102)-VALUE('Sheet2'!I101)),ABS(VALUE('Sheet2'!J102)-VALUE('Sheet2'!J101)),ABS(VALUE('Sheet2'!K102)-VALUE('Sheet2'!K101)),ABS(VALUE('Sheet2'!L102)-VALUE('Sheet2'!L101)),ABS(VALUE('Sheet2'!M102)-VALUE('Sheet2'!M101)),ABS(VALUE('Sheet2'!N102)-VALUE('Sheet2'!N101)),ABS(VALUE('Sheet2'!O102)-VALUE('Sheet2'!O101)),ABS(VALUE('Sheet2'!P102)-VALUE('Sheet2'!P101)))</x:f>
        <x:v>0.0058</x:v>
      </x:c>
      <x:c r="L102" t="n">
        <x:f>SUM(ABS(VALUE('Sheet2'!D102)-VALUE('Sheet2'!D101)),ABS(VALUE('Sheet2'!E102)-VALUE('Sheet2'!E101)),ABS(VALUE('Sheet2'!F102)-VALUE('Sheet2'!F101)),ABS(VALUE('Sheet2'!G102)-VALUE('Sheet2'!G101)),ABS(VALUE('Sheet2'!H102)-VALUE('Sheet2'!H101)),ABS(VALUE('Sheet2'!I102)-VALUE('Sheet2'!I101)),ABS(VALUE('Sheet2'!J102)-VALUE('Sheet2'!J101)),ABS(VALUE('Sheet2'!K102)-VALUE('Sheet2'!K101)),ABS(VALUE('Sheet2'!L102)-VALUE('Sheet2'!L101)),ABS(VALUE('Sheet2'!M102)-VALUE('Sheet2'!M101)),ABS(VALUE('Sheet2'!N102)-VALUE('Sheet2'!N101)),ABS(VALUE('Sheet2'!O102)-VALUE('Sheet2'!O101)),ABS(VALUE('Sheet2'!P102)-VALUE('Sheet2'!P101)))/2</x:f>
        <x:v>0.00760000000000002</x:v>
      </x:c>
      <x:c r="M102" t="n">
        <x:f>SUMSQ('Sheet2'!D102:P102)</x:f>
        <x:v>0.2287012</x:v>
      </x:c>
      <x:c r="N102" t="n">
        <x:f>VALUE('Sheet2'!D102)</x:f>
        <x:v>0.0346</x:v>
      </x:c>
    </x:row>
    <x:row r="103">
      <x:c r="A103" t="str">
        <x:f>'Sheet2'!A103</x:f>
        <x:v>2025-03-07</x:v>
      </x:c>
      <x:c r="B103" t="n">
        <x:f>VALUE('Sheet2'!B103)</x:f>
        <x:v>0.949</x:v>
      </x:c>
      <x:c r="C103" t="n">
        <x:f>VALUE('Sheet2'!C103)</x:f>
        <x:v>1.0016</x:v>
      </x:c>
      <x:c r="D103" t="n">
        <x:f>IFERROR(B103/B102-1,"")</x:f>
        <x:v>0.024727351257963326</x:v>
      </x:c>
      <x:c r="E103" t="n">
        <x:f>IFERROR(C103/C102-1,"")</x:f>
        <x:v>0.013867800384654405</x:v>
      </x:c>
      <x:c r="F103" t="n">
        <x:f>IFERROR(D103-E103,"")</x:f>
        <x:v>0.01085955087330892</x:v>
      </x:c>
      <x:c r="G103" t="n">
        <x:f>MAX($B$2:B103)</x:f>
        <x:v>1.0115</x:v>
      </x:c>
      <x:c r="H103" t="n">
        <x:f>IFERROR(B103/G103-1,"")</x:f>
        <x:v>-0.06178942165101342</x:v>
      </x:c>
      <x:c r="I103" t="n">
        <x:f>MAX($C$2:C103)</x:f>
        <x:v>1.0422</x:v>
      </x:c>
      <x:c r="J103" t="n">
        <x:f>IFERROR(C103/I103-1,"")</x:f>
        <x:v>-0.03895605450009587</x:v>
      </x:c>
      <x:c r="K103" t="n">
        <x:f>MAX(ABS(VALUE('Sheet2'!D103)-VALUE('Sheet2'!D102)),ABS(VALUE('Sheet2'!E103)-VALUE('Sheet2'!E102)),ABS(VALUE('Sheet2'!F103)-VALUE('Sheet2'!F102)),ABS(VALUE('Sheet2'!G103)-VALUE('Sheet2'!G102)),ABS(VALUE('Sheet2'!H103)-VALUE('Sheet2'!H102)),ABS(VALUE('Sheet2'!I103)-VALUE('Sheet2'!I102)),ABS(VALUE('Sheet2'!J103)-VALUE('Sheet2'!J102)),ABS(VALUE('Sheet2'!K103)-VALUE('Sheet2'!K102)),ABS(VALUE('Sheet2'!L103)-VALUE('Sheet2'!L102)),ABS(VALUE('Sheet2'!M103)-VALUE('Sheet2'!M102)),ABS(VALUE('Sheet2'!N103)-VALUE('Sheet2'!N102)),ABS(VALUE('Sheet2'!O103)-VALUE('Sheet2'!O102)),ABS(VALUE('Sheet2'!P103)-VALUE('Sheet2'!P102)))</x:f>
        <x:v>0.008699999999999986</x:v>
      </x:c>
      <x:c r="L103" t="n">
        <x:f>SUM(ABS(VALUE('Sheet2'!D103)-VALUE('Sheet2'!D102)),ABS(VALUE('Sheet2'!E103)-VALUE('Sheet2'!E102)),ABS(VALUE('Sheet2'!F103)-VALUE('Sheet2'!F102)),ABS(VALUE('Sheet2'!G103)-VALUE('Sheet2'!G102)),ABS(VALUE('Sheet2'!H103)-VALUE('Sheet2'!H102)),ABS(VALUE('Sheet2'!I103)-VALUE('Sheet2'!I102)),ABS(VALUE('Sheet2'!J103)-VALUE('Sheet2'!J102)),ABS(VALUE('Sheet2'!K103)-VALUE('Sheet2'!K102)),ABS(VALUE('Sheet2'!L103)-VALUE('Sheet2'!L102)),ABS(VALUE('Sheet2'!M103)-VALUE('Sheet2'!M102)),ABS(VALUE('Sheet2'!N103)-VALUE('Sheet2'!N102)),ABS(VALUE('Sheet2'!O103)-VALUE('Sheet2'!O102)),ABS(VALUE('Sheet2'!P103)-VALUE('Sheet2'!P102)))/2</x:f>
        <x:v>0.010949999999999977</x:v>
      </x:c>
      <x:c r="M103" t="n">
        <x:f>SUMSQ('Sheet2'!D103:P103)</x:f>
        <x:v>0.22994290999999997</x:v>
      </x:c>
      <x:c r="N103" t="n">
        <x:f>VALUE('Sheet2'!D103)</x:f>
        <x:v>0.0335</x:v>
      </x:c>
    </x:row>
    <x:row r="104">
      <x:c r="A104" t="str">
        <x:f>'Sheet2'!A104</x:f>
        <x:v>2025-03-14</x:v>
      </x:c>
      <x:c r="B104" t="n">
        <x:f>VALUE('Sheet2'!B104)</x:f>
        <x:v>0.9508</x:v>
      </x:c>
      <x:c r="C104" t="n">
        <x:f>VALUE('Sheet2'!C104)</x:f>
        <x:v>1.0175</x:v>
      </x:c>
      <x:c r="D104" t="n">
        <x:f>IFERROR(B104/B103-1,"")</x:f>
        <x:v>0.001896733403582651</x:v>
      </x:c>
      <x:c r="E104" t="n">
        <x:f>IFERROR(C104/C103-1,"")</x:f>
        <x:v>0.01587460063897761</x:v>
      </x:c>
      <x:c r="F104" t="n">
        <x:f>IFERROR(D104-E104,"")</x:f>
        <x:v>-0.013977867235394958</x:v>
      </x:c>
      <x:c r="G104" t="n">
        <x:f>MAX($B$2:B104)</x:f>
        <x:v>1.0115</x:v>
      </x:c>
      <x:c r="H104" t="n">
        <x:f>IFERROR(B104/G104-1,"")</x:f>
        <x:v>-0.06000988630746429</x:v>
      </x:c>
      <x:c r="I104" t="n">
        <x:f>MAX($C$2:C104)</x:f>
        <x:v>1.0422</x:v>
      </x:c>
      <x:c r="J104" t="n">
        <x:f>IFERROR(C104/I104-1,"")</x:f>
        <x:v>-0.023699865668777576</x:v>
      </x:c>
      <x:c r="K104" t="n">
        <x:f>MAX(ABS(VALUE('Sheet2'!D104)-VALUE('Sheet2'!D103)),ABS(VALUE('Sheet2'!E104)-VALUE('Sheet2'!E103)),ABS(VALUE('Sheet2'!F104)-VALUE('Sheet2'!F103)),ABS(VALUE('Sheet2'!G104)-VALUE('Sheet2'!G103)),ABS(VALUE('Sheet2'!H104)-VALUE('Sheet2'!H103)),ABS(VALUE('Sheet2'!I104)-VALUE('Sheet2'!I103)),ABS(VALUE('Sheet2'!J104)-VALUE('Sheet2'!J103)),ABS(VALUE('Sheet2'!K104)-VALUE('Sheet2'!K103)),ABS(VALUE('Sheet2'!L104)-VALUE('Sheet2'!L103)),ABS(VALUE('Sheet2'!M104)-VALUE('Sheet2'!M103)),ABS(VALUE('Sheet2'!N104)-VALUE('Sheet2'!N103)),ABS(VALUE('Sheet2'!O104)-VALUE('Sheet2'!O103)),ABS(VALUE('Sheet2'!P104)-VALUE('Sheet2'!P103)))</x:f>
        <x:v>0.010900000000000003</x:v>
      </x:c>
      <x:c r="L104" t="n">
        <x:f>SUM(ABS(VALUE('Sheet2'!D104)-VALUE('Sheet2'!D103)),ABS(VALUE('Sheet2'!E104)-VALUE('Sheet2'!E103)),ABS(VALUE('Sheet2'!F104)-VALUE('Sheet2'!F103)),ABS(VALUE('Sheet2'!G104)-VALUE('Sheet2'!G103)),ABS(VALUE('Sheet2'!H104)-VALUE('Sheet2'!H103)),ABS(VALUE('Sheet2'!I104)-VALUE('Sheet2'!I103)),ABS(VALUE('Sheet2'!J104)-VALUE('Sheet2'!J103)),ABS(VALUE('Sheet2'!K104)-VALUE('Sheet2'!K103)),ABS(VALUE('Sheet2'!L104)-VALUE('Sheet2'!L103)),ABS(VALUE('Sheet2'!M104)-VALUE('Sheet2'!M103)),ABS(VALUE('Sheet2'!N104)-VALUE('Sheet2'!N103)),ABS(VALUE('Sheet2'!O104)-VALUE('Sheet2'!O103)),ABS(VALUE('Sheet2'!P104)-VALUE('Sheet2'!P103)))/2</x:f>
        <x:v>0.01250000000000003</x:v>
      </x:c>
      <x:c r="M104" t="n">
        <x:f>SUMSQ('Sheet2'!D104:P104)</x:f>
        <x:v>0.23521177000000004</x:v>
      </x:c>
      <x:c r="N104" t="n">
        <x:f>VALUE('Sheet2'!D104)</x:f>
        <x:v>0.0226</x:v>
      </x:c>
    </x:row>
    <x:row r="105">
      <x:c r="A105" t="str">
        <x:f>'Sheet2'!A105</x:f>
        <x:v>2025-03-21</x:v>
      </x:c>
      <x:c r="B105" t="n">
        <x:f>VALUE('Sheet2'!B105)</x:f>
        <x:v>0.9403</x:v>
      </x:c>
      <x:c r="C105" t="n">
        <x:f>VALUE('Sheet2'!C105)</x:f>
        <x:v>0.9941</x:v>
      </x:c>
      <x:c r="D105" t="n">
        <x:f>IFERROR(B105/B104-1,"")</x:f>
        <x:v>-0.011043331931005373</x:v>
      </x:c>
      <x:c r="E105" t="n">
        <x:f>IFERROR(C105/C104-1,"")</x:f>
        <x:v>-0.022997542997543086</x:v>
      </x:c>
      <x:c r="F105" t="n">
        <x:f>IFERROR(D105-E105,"")</x:f>
        <x:v>0.011954211066537712</x:v>
      </x:c>
      <x:c r="G105" t="n">
        <x:f>MAX($B$2:B105)</x:f>
        <x:v>1.0115</x:v>
      </x:c>
      <x:c r="H105" t="n">
        <x:f>IFERROR(B105/G105-1,"")</x:f>
        <x:v>-0.07039050914483447</x:v>
      </x:c>
      <x:c r="I105" t="n">
        <x:f>MAX($C$2:C105)</x:f>
        <x:v>1.0422</x:v>
      </x:c>
      <x:c r="J105" t="n">
        <x:f>IFERROR(C105/I105-1,"")</x:f>
        <x:v>-0.04615236998656691</x:v>
      </x:c>
      <x:c r="K105" t="n">
        <x:f>MAX(ABS(VALUE('Sheet2'!D105)-VALUE('Sheet2'!D104)),ABS(VALUE('Sheet2'!E105)-VALUE('Sheet2'!E104)),ABS(VALUE('Sheet2'!F105)-VALUE('Sheet2'!F104)),ABS(VALUE('Sheet2'!G105)-VALUE('Sheet2'!G104)),ABS(VALUE('Sheet2'!H105)-VALUE('Sheet2'!H104)),ABS(VALUE('Sheet2'!I105)-VALUE('Sheet2'!I104)),ABS(VALUE('Sheet2'!J105)-VALUE('Sheet2'!J104)),ABS(VALUE('Sheet2'!K105)-VALUE('Sheet2'!K104)),ABS(VALUE('Sheet2'!L105)-VALUE('Sheet2'!L104)),ABS(VALUE('Sheet2'!M105)-VALUE('Sheet2'!M104)),ABS(VALUE('Sheet2'!N105)-VALUE('Sheet2'!N104)),ABS(VALUE('Sheet2'!O105)-VALUE('Sheet2'!O104)),ABS(VALUE('Sheet2'!P105)-VALUE('Sheet2'!P104)))</x:f>
        <x:v>0.003899999999999987</x:v>
      </x:c>
      <x:c r="L105" t="n">
        <x:f>SUM(ABS(VALUE('Sheet2'!D105)-VALUE('Sheet2'!D104)),ABS(VALUE('Sheet2'!E105)-VALUE('Sheet2'!E104)),ABS(VALUE('Sheet2'!F105)-VALUE('Sheet2'!F104)),ABS(VALUE('Sheet2'!G105)-VALUE('Sheet2'!G104)),ABS(VALUE('Sheet2'!H105)-VALUE('Sheet2'!H104)),ABS(VALUE('Sheet2'!I105)-VALUE('Sheet2'!I104)),ABS(VALUE('Sheet2'!J105)-VALUE('Sheet2'!J104)),ABS(VALUE('Sheet2'!K105)-VALUE('Sheet2'!K104)),ABS(VALUE('Sheet2'!L105)-VALUE('Sheet2'!L104)),ABS(VALUE('Sheet2'!M105)-VALUE('Sheet2'!M104)),ABS(VALUE('Sheet2'!N105)-VALUE('Sheet2'!N104)),ABS(VALUE('Sheet2'!O105)-VALUE('Sheet2'!O104)),ABS(VALUE('Sheet2'!P105)-VALUE('Sheet2'!P104)))/2</x:f>
        <x:v>0.006499999999999992</x:v>
      </x:c>
      <x:c r="M105" t="n">
        <x:f>SUMSQ('Sheet2'!D105:P105)</x:f>
        <x:v>0.23398687</x:v>
      </x:c>
      <x:c r="N105" t="n">
        <x:f>VALUE('Sheet2'!D105)</x:f>
        <x:v>0.0226</x:v>
      </x:c>
    </x:row>
    <x:row r="106">
      <x:c r="A106" t="str">
        <x:f>'Sheet2'!A106</x:f>
        <x:v>2025-03-28</x:v>
      </x:c>
      <x:c r="B106" t="n">
        <x:f>VALUE('Sheet2'!B106)</x:f>
        <x:v>0.9344</x:v>
      </x:c>
      <x:c r="C106" t="n">
        <x:f>VALUE('Sheet2'!C106)</x:f>
        <x:v>0.9943</x:v>
      </x:c>
      <x:c r="D106" t="n">
        <x:f>IFERROR(B106/B105-1,"")</x:f>
        <x:v>-0.006274593214931401</x:v>
      </x:c>
      <x:c r="E106" t="n">
        <x:f>IFERROR(C106/C105-1,"")</x:f>
        <x:v>0.00020118700331961392</x:v>
      </x:c>
      <x:c r="F106" t="n">
        <x:f>IFERROR(D106-E106,"")</x:f>
        <x:v>-0.006475780218251015</x:v>
      </x:c>
      <x:c r="G106" t="n">
        <x:f>MAX($B$2:B106)</x:f>
        <x:v>1.0115</x:v>
      </x:c>
      <x:c r="H106" t="n">
        <x:f>IFERROR(B106/G106-1,"")</x:f>
        <x:v>-0.07622343054869007</x:v>
      </x:c>
      <x:c r="I106" t="n">
        <x:f>MAX($C$2:C106)</x:f>
        <x:v>1.0422</x:v>
      </x:c>
      <x:c r="J106" t="n">
        <x:f>IFERROR(C106/I106-1,"")</x:f>
        <x:v>-0.04596046824026101</x:v>
      </x:c>
      <x:c r="K106" t="n">
        <x:f>MAX(ABS(VALUE('Sheet2'!D106)-VALUE('Sheet2'!D105)),ABS(VALUE('Sheet2'!E106)-VALUE('Sheet2'!E105)),ABS(VALUE('Sheet2'!F106)-VALUE('Sheet2'!F105)),ABS(VALUE('Sheet2'!G106)-VALUE('Sheet2'!G105)),ABS(VALUE('Sheet2'!H106)-VALUE('Sheet2'!H105)),ABS(VALUE('Sheet2'!I106)-VALUE('Sheet2'!I105)),ABS(VALUE('Sheet2'!J106)-VALUE('Sheet2'!J105)),ABS(VALUE('Sheet2'!K106)-VALUE('Sheet2'!K105)),ABS(VALUE('Sheet2'!L106)-VALUE('Sheet2'!L105)),ABS(VALUE('Sheet2'!M106)-VALUE('Sheet2'!M105)),ABS(VALUE('Sheet2'!N106)-VALUE('Sheet2'!N105)),ABS(VALUE('Sheet2'!O106)-VALUE('Sheet2'!O105)),ABS(VALUE('Sheet2'!P106)-VALUE('Sheet2'!P105)))</x:f>
        <x:v>0.0021000000000000463</x:v>
      </x:c>
      <x:c r="L106" t="n">
        <x:f>SUM(ABS(VALUE('Sheet2'!D106)-VALUE('Sheet2'!D105)),ABS(VALUE('Sheet2'!E106)-VALUE('Sheet2'!E105)),ABS(VALUE('Sheet2'!F106)-VALUE('Sheet2'!F105)),ABS(VALUE('Sheet2'!G106)-VALUE('Sheet2'!G105)),ABS(VALUE('Sheet2'!H106)-VALUE('Sheet2'!H105)),ABS(VALUE('Sheet2'!I106)-VALUE('Sheet2'!I105)),ABS(VALUE('Sheet2'!J106)-VALUE('Sheet2'!J105)),ABS(VALUE('Sheet2'!K106)-VALUE('Sheet2'!K105)),ABS(VALUE('Sheet2'!L106)-VALUE('Sheet2'!L105)),ABS(VALUE('Sheet2'!M106)-VALUE('Sheet2'!M105)),ABS(VALUE('Sheet2'!N106)-VALUE('Sheet2'!N105)),ABS(VALUE('Sheet2'!O106)-VALUE('Sheet2'!O105)),ABS(VALUE('Sheet2'!P106)-VALUE('Sheet2'!P105)))/2</x:f>
        <x:v>0.0031500000000000243</x:v>
      </x:c>
      <x:c r="M106" t="n">
        <x:f>SUMSQ('Sheet2'!D106:P106)</x:f>
        <x:v>0.23326925999999998</x:v>
      </x:c>
      <x:c r="N106" t="n">
        <x:f>VALUE('Sheet2'!D106)</x:f>
        <x:v>0.0224</x:v>
      </x:c>
    </x:row>
    <x:row r="107">
      <x:c r="A107" t="str">
        <x:f>'Sheet2'!A107</x:f>
        <x:v>2025-03-31</x:v>
      </x:c>
      <x:c r="B107" t="n">
        <x:f>VALUE('Sheet2'!B107)</x:f>
        <x:v>0.9304</x:v>
      </x:c>
      <x:c r="C107" t="n">
        <x:f>VALUE('Sheet2'!C107)</x:f>
        <x:v>0.9872</x:v>
      </x:c>
      <x:c r="D107" t="n">
        <x:f>IFERROR(B107/B106-1,"")</x:f>
        <x:v>-0.0042808219178082085</x:v>
      </x:c>
      <x:c r="E107" t="n">
        <x:f>IFERROR(C107/C106-1,"")</x:f>
        <x:v>-0.007140702001408039</x:v>
      </x:c>
      <x:c r="F107" t="n">
        <x:f>IFERROR(D107-E107,"")</x:f>
        <x:v>0.0028598800835998306</x:v>
      </x:c>
      <x:c r="G107" t="n">
        <x:f>MAX($B$2:B107)</x:f>
        <x:v>1.0115</x:v>
      </x:c>
      <x:c r="H107" t="n">
        <x:f>IFERROR(B107/G107-1,"")</x:f>
        <x:v>-0.08017795353435497</x:v>
      </x:c>
      <x:c r="I107" t="n">
        <x:f>MAX($C$2:C107)</x:f>
        <x:v>1.0422</x:v>
      </x:c>
      <x:c r="J107" t="n">
        <x:f>IFERROR(C107/I107-1,"")</x:f>
        <x:v>-0.05277298023412014</x:v>
      </x:c>
      <x:c r="K107" t="n">
        <x:f>MAX(ABS(VALUE('Sheet2'!D107)-VALUE('Sheet2'!D106)),ABS(VALUE('Sheet2'!E107)-VALUE('Sheet2'!E106)),ABS(VALUE('Sheet2'!F107)-VALUE('Sheet2'!F106)),ABS(VALUE('Sheet2'!G107)-VALUE('Sheet2'!G106)),ABS(VALUE('Sheet2'!H107)-VALUE('Sheet2'!H106)),ABS(VALUE('Sheet2'!I107)-VALUE('Sheet2'!I106)),ABS(VALUE('Sheet2'!J107)-VALUE('Sheet2'!J106)),ABS(VALUE('Sheet2'!K107)-VALUE('Sheet2'!K106)),ABS(VALUE('Sheet2'!L107)-VALUE('Sheet2'!L106)),ABS(VALUE('Sheet2'!M107)-VALUE('Sheet2'!M106)),ABS(VALUE('Sheet2'!N107)-VALUE('Sheet2'!N106)),ABS(VALUE('Sheet2'!O107)-VALUE('Sheet2'!O106)),ABS(VALUE('Sheet2'!P107)-VALUE('Sheet2'!P106)))</x:f>
        <x:v>0.0013000000000000234</x:v>
      </x:c>
      <x:c r="L107" t="n">
        <x:f>SUM(ABS(VALUE('Sheet2'!D107)-VALUE('Sheet2'!D106)),ABS(VALUE('Sheet2'!E107)-VALUE('Sheet2'!E106)),ABS(VALUE('Sheet2'!F107)-VALUE('Sheet2'!F106)),ABS(VALUE('Sheet2'!G107)-VALUE('Sheet2'!G106)),ABS(VALUE('Sheet2'!H107)-VALUE('Sheet2'!H106)),ABS(VALUE('Sheet2'!I107)-VALUE('Sheet2'!I106)),ABS(VALUE('Sheet2'!J107)-VALUE('Sheet2'!J106)),ABS(VALUE('Sheet2'!K107)-VALUE('Sheet2'!K106)),ABS(VALUE('Sheet2'!L107)-VALUE('Sheet2'!L106)),ABS(VALUE('Sheet2'!M107)-VALUE('Sheet2'!M106)),ABS(VALUE('Sheet2'!N107)-VALUE('Sheet2'!N106)),ABS(VALUE('Sheet2'!O107)-VALUE('Sheet2'!O106)),ABS(VALUE('Sheet2'!P107)-VALUE('Sheet2'!P106)))/2</x:f>
        <x:v>0.002050000000000003</x:v>
      </x:c>
      <x:c r="M107" t="n">
        <x:f>SUMSQ('Sheet2'!D107:P107)</x:f>
        <x:v>0.23284099</x:v>
      </x:c>
      <x:c r="N107" t="n">
        <x:f>VALUE('Sheet2'!D107)</x:f>
        <x:v>0.0224</x:v>
      </x:c>
    </x:row>
    <x:row r="108">
      <x:c r="A108" t="str">
        <x:f>'Sheet2'!A108</x:f>
        <x:v>2025-04-03</x:v>
      </x:c>
      <x:c r="B108" t="n">
        <x:f>VALUE('Sheet2'!B108)</x:f>
        <x:v>0.9287</x:v>
      </x:c>
      <x:c r="C108" t="n">
        <x:f>VALUE('Sheet2'!C108)</x:f>
        <x:v>0.9806</x:v>
      </x:c>
      <x:c r="D108" t="n">
        <x:f>IFERROR(B108/B107-1,"")</x:f>
        <x:v>-0.0018271711092003873</x:v>
      </x:c>
      <x:c r="E108" t="n">
        <x:f>IFERROR(C108/C107-1,"")</x:f>
        <x:v>-0.00668557536466774</x:v>
      </x:c>
      <x:c r="F108" t="n">
        <x:f>IFERROR(D108-E108,"")</x:f>
        <x:v>0.004858404255467352</x:v>
      </x:c>
      <x:c r="G108" t="n">
        <x:f>MAX($B$2:B108)</x:f>
        <x:v>1.0115</x:v>
      </x:c>
      <x:c r="H108" t="n">
        <x:f>IFERROR(B108/G108-1,"")</x:f>
        <x:v>-0.08185862580326253</x:v>
      </x:c>
      <x:c r="I108" t="n">
        <x:f>MAX($C$2:C108)</x:f>
        <x:v>1.0422</x:v>
      </x:c>
      <x:c r="J108" t="n">
        <x:f>IFERROR(C108/I108-1,"")</x:f>
        <x:v>-0.059105737862214514</x:v>
      </x:c>
      <x:c r="K108" t="n">
        <x:f>MAX(ABS(VALUE('Sheet2'!D108)-VALUE('Sheet2'!D107)),ABS(VALUE('Sheet2'!E108)-VALUE('Sheet2'!E107)),ABS(VALUE('Sheet2'!F108)-VALUE('Sheet2'!F107)),ABS(VALUE('Sheet2'!G108)-VALUE('Sheet2'!G107)),ABS(VALUE('Sheet2'!H108)-VALUE('Sheet2'!H107)),ABS(VALUE('Sheet2'!I108)-VALUE('Sheet2'!I107)),ABS(VALUE('Sheet2'!J108)-VALUE('Sheet2'!J107)),ABS(VALUE('Sheet2'!K108)-VALUE('Sheet2'!K107)),ABS(VALUE('Sheet2'!L108)-VALUE('Sheet2'!L107)),ABS(VALUE('Sheet2'!M108)-VALUE('Sheet2'!M107)),ABS(VALUE('Sheet2'!N108)-VALUE('Sheet2'!N107)),ABS(VALUE('Sheet2'!O108)-VALUE('Sheet2'!O107)),ABS(VALUE('Sheet2'!P108)-VALUE('Sheet2'!P107)))</x:f>
        <x:v>0.001799999999999996</x:v>
      </x:c>
      <x:c r="L108" t="n">
        <x:f>SUM(ABS(VALUE('Sheet2'!D108)-VALUE('Sheet2'!D107)),ABS(VALUE('Sheet2'!E108)-VALUE('Sheet2'!E107)),ABS(VALUE('Sheet2'!F108)-VALUE('Sheet2'!F107)),ABS(VALUE('Sheet2'!G108)-VALUE('Sheet2'!G107)),ABS(VALUE('Sheet2'!H108)-VALUE('Sheet2'!H107)),ABS(VALUE('Sheet2'!I108)-VALUE('Sheet2'!I107)),ABS(VALUE('Sheet2'!J108)-VALUE('Sheet2'!J107)),ABS(VALUE('Sheet2'!K108)-VALUE('Sheet2'!K107)),ABS(VALUE('Sheet2'!L108)-VALUE('Sheet2'!L107)),ABS(VALUE('Sheet2'!M108)-VALUE('Sheet2'!M107)),ABS(VALUE('Sheet2'!N108)-VALUE('Sheet2'!N107)),ABS(VALUE('Sheet2'!O108)-VALUE('Sheet2'!O107)),ABS(VALUE('Sheet2'!P108)-VALUE('Sheet2'!P107)))/2</x:f>
        <x:v>0.0024999999999999935</x:v>
      </x:c>
      <x:c r="M108" t="n">
        <x:f>SUMSQ('Sheet2'!D108:P108)</x:f>
        <x:v>0.23254501</x:v>
      </x:c>
      <x:c r="N108" t="n">
        <x:f>VALUE('Sheet2'!D108)</x:f>
        <x:v>0.0223</x:v>
      </x:c>
    </x:row>
    <x:row r="109">
      <x:c r="A109" t="str">
        <x:f>'Sheet2'!A109</x:f>
        <x:v>2025-04-11</x:v>
      </x:c>
      <x:c r="B109" t="n">
        <x:f>VALUE('Sheet2'!B109)</x:f>
        <x:v>0.8998</x:v>
      </x:c>
      <x:c r="C109" t="n">
        <x:f>VALUE('Sheet2'!C109)</x:f>
        <x:v>0.9524</x:v>
      </x:c>
      <x:c r="D109" t="n">
        <x:f>IFERROR(B109/B108-1,"")</x:f>
        <x:v>-0.031118768170560918</x:v>
      </x:c>
      <x:c r="E109" t="n">
        <x:f>IFERROR(C109/C108-1,"")</x:f>
        <x:v>-0.028757903324495238</x:v>
      </x:c>
      <x:c r="F109" t="n">
        <x:f>IFERROR(D109-E109,"")</x:f>
        <x:v>-0.00236086484606568</x:v>
      </x:c>
      <x:c r="G109" t="n">
        <x:f>MAX($B$2:B109)</x:f>
        <x:v>1.0115</x:v>
      </x:c>
      <x:c r="H109" t="n">
        <x:f>IFERROR(B109/G109-1,"")</x:f>
        <x:v>-0.11043005437469111</x:v>
      </x:c>
      <x:c r="I109" t="n">
        <x:f>MAX($C$2:C109)</x:f>
        <x:v>1.0422</x:v>
      </x:c>
      <x:c r="J109" t="n">
        <x:f>IFERROR(C109/I109-1,"")</x:f>
        <x:v>-0.08616388409134523</x:v>
      </x:c>
      <x:c r="K109" t="n">
        <x:f>MAX(ABS(VALUE('Sheet2'!D109)-VALUE('Sheet2'!D108)),ABS(VALUE('Sheet2'!E109)-VALUE('Sheet2'!E108)),ABS(VALUE('Sheet2'!F109)-VALUE('Sheet2'!F108)),ABS(VALUE('Sheet2'!G109)-VALUE('Sheet2'!G108)),ABS(VALUE('Sheet2'!H109)-VALUE('Sheet2'!H108)),ABS(VALUE('Sheet2'!I109)-VALUE('Sheet2'!I108)),ABS(VALUE('Sheet2'!J109)-VALUE('Sheet2'!J108)),ABS(VALUE('Sheet2'!K109)-VALUE('Sheet2'!K108)),ABS(VALUE('Sheet2'!L109)-VALUE('Sheet2'!L108)),ABS(VALUE('Sheet2'!M109)-VALUE('Sheet2'!M108)),ABS(VALUE('Sheet2'!N109)-VALUE('Sheet2'!N108)),ABS(VALUE('Sheet2'!O109)-VALUE('Sheet2'!O108)),ABS(VALUE('Sheet2'!P109)-VALUE('Sheet2'!P108)))</x:f>
        <x:v>0.050399999999999986</x:v>
      </x:c>
      <x:c r="L109" t="n">
        <x:f>SUM(ABS(VALUE('Sheet2'!D109)-VALUE('Sheet2'!D108)),ABS(VALUE('Sheet2'!E109)-VALUE('Sheet2'!E108)),ABS(VALUE('Sheet2'!F109)-VALUE('Sheet2'!F108)),ABS(VALUE('Sheet2'!G109)-VALUE('Sheet2'!G108)),ABS(VALUE('Sheet2'!H109)-VALUE('Sheet2'!H108)),ABS(VALUE('Sheet2'!I109)-VALUE('Sheet2'!I108)),ABS(VALUE('Sheet2'!J109)-VALUE('Sheet2'!J108)),ABS(VALUE('Sheet2'!K109)-VALUE('Sheet2'!K108)),ABS(VALUE('Sheet2'!L109)-VALUE('Sheet2'!L108)),ABS(VALUE('Sheet2'!M109)-VALUE('Sheet2'!M108)),ABS(VALUE('Sheet2'!N109)-VALUE('Sheet2'!N108)),ABS(VALUE('Sheet2'!O109)-VALUE('Sheet2'!O108)),ABS(VALUE('Sheet2'!P109)-VALUE('Sheet2'!P108)))/2</x:f>
        <x:v>0.0558</x:v>
      </x:c>
      <x:c r="M109" t="n">
        <x:f>SUMSQ('Sheet2'!D109:P109)</x:f>
        <x:v>0.22222915</x:v>
      </x:c>
      <x:c r="N109" t="n">
        <x:f>VALUE('Sheet2'!D109)</x:f>
        <x:v>0.0646</x:v>
      </x:c>
    </x:row>
    <x:row r="110">
      <x:c r="A110" t="str">
        <x:f>'Sheet2'!A110</x:f>
        <x:v>2025-04-18</x:v>
      </x:c>
      <x:c r="B110" t="n">
        <x:f>VALUE('Sheet2'!B110)</x:f>
        <x:v>0.9039</x:v>
      </x:c>
      <x:c r="C110" t="n">
        <x:f>VALUE('Sheet2'!C110)</x:f>
        <x:v>0.958</x:v>
      </x:c>
      <x:c r="D110" t="n">
        <x:f>IFERROR(B110/B109-1,"")</x:f>
        <x:v>0.004556568126250271</x:v>
      </x:c>
      <x:c r="E110" t="n">
        <x:f>IFERROR(C110/C109-1,"")</x:f>
        <x:v>0.0058798824023518215</x:v>
      </x:c>
      <x:c r="F110" t="n">
        <x:f>IFERROR(D110-E110,"")</x:f>
        <x:v>-0.0013233142761015504</x:v>
      </x:c>
      <x:c r="G110" t="n">
        <x:f>MAX($B$2:B110)</x:f>
        <x:v>1.0115</x:v>
      </x:c>
      <x:c r="H110" t="n">
        <x:f>IFERROR(B110/G110-1,"")</x:f>
        <x:v>-0.10637666831438464</x:v>
      </x:c>
      <x:c r="I110" t="n">
        <x:f>MAX($C$2:C110)</x:f>
        <x:v>1.0422</x:v>
      </x:c>
      <x:c r="J110" t="n">
        <x:f>IFERROR(C110/I110-1,"")</x:f>
        <x:v>-0.08079063519478036</x:v>
      </x:c>
      <x:c r="K110" t="n">
        <x:f>MAX(ABS(VALUE('Sheet2'!D110)-VALUE('Sheet2'!D109)),ABS(VALUE('Sheet2'!E110)-VALUE('Sheet2'!E109)),ABS(VALUE('Sheet2'!F110)-VALUE('Sheet2'!F109)),ABS(VALUE('Sheet2'!G110)-VALUE('Sheet2'!G109)),ABS(VALUE('Sheet2'!H110)-VALUE('Sheet2'!H109)),ABS(VALUE('Sheet2'!I110)-VALUE('Sheet2'!I109)),ABS(VALUE('Sheet2'!J110)-VALUE('Sheet2'!J109)),ABS(VALUE('Sheet2'!K110)-VALUE('Sheet2'!K109)),ABS(VALUE('Sheet2'!L110)-VALUE('Sheet2'!L109)),ABS(VALUE('Sheet2'!M110)-VALUE('Sheet2'!M109)),ABS(VALUE('Sheet2'!N110)-VALUE('Sheet2'!N109)),ABS(VALUE('Sheet2'!O110)-VALUE('Sheet2'!O109)),ABS(VALUE('Sheet2'!P110)-VALUE('Sheet2'!P109)))</x:f>
        <x:v>0.0022999999999999965</x:v>
      </x:c>
      <x:c r="L110" t="n">
        <x:f>SUM(ABS(VALUE('Sheet2'!D110)-VALUE('Sheet2'!D109)),ABS(VALUE('Sheet2'!E110)-VALUE('Sheet2'!E109)),ABS(VALUE('Sheet2'!F110)-VALUE('Sheet2'!F109)),ABS(VALUE('Sheet2'!G110)-VALUE('Sheet2'!G109)),ABS(VALUE('Sheet2'!H110)-VALUE('Sheet2'!H109)),ABS(VALUE('Sheet2'!I110)-VALUE('Sheet2'!I109)),ABS(VALUE('Sheet2'!J110)-VALUE('Sheet2'!J109)),ABS(VALUE('Sheet2'!K110)-VALUE('Sheet2'!K109)),ABS(VALUE('Sheet2'!L110)-VALUE('Sheet2'!L109)),ABS(VALUE('Sheet2'!M110)-VALUE('Sheet2'!M109)),ABS(VALUE('Sheet2'!N110)-VALUE('Sheet2'!N109)),ABS(VALUE('Sheet2'!O110)-VALUE('Sheet2'!O109)),ABS(VALUE('Sheet2'!P110)-VALUE('Sheet2'!P109)))/2</x:f>
        <x:v>0.0025000000000000022</x:v>
      </x:c>
      <x:c r="M110" t="n">
        <x:f>SUMSQ('Sheet2'!D110:P110)</x:f>
        <x:v>0.22200529</x:v>
      </x:c>
      <x:c r="N110" t="n">
        <x:f>VALUE('Sheet2'!D110)</x:f>
        <x:v>0.064</x:v>
      </x:c>
    </x:row>
    <x:row r="111">
      <x:c r="A111" t="str">
        <x:f>'Sheet2'!A111</x:f>
        <x:v>2025-04-25</x:v>
      </x:c>
      <x:c r="B111" t="n">
        <x:f>VALUE('Sheet2'!B111)</x:f>
        <x:v>0.9125</x:v>
      </x:c>
      <x:c r="C111" t="n">
        <x:f>VALUE('Sheet2'!C111)</x:f>
        <x:v>0.9617</x:v>
      </x:c>
      <x:c r="D111" t="n">
        <x:f>IFERROR(B111/B110-1,"")</x:f>
        <x:v>0.009514326806062456</x:v>
      </x:c>
      <x:c r="E111" t="n">
        <x:f>IFERROR(C111/C110-1,"")</x:f>
        <x:v>0.003862212943632537</x:v>
      </x:c>
      <x:c r="F111" t="n">
        <x:f>IFERROR(D111-E111,"")</x:f>
        <x:v>0.005652113862429919</x:v>
      </x:c>
      <x:c r="G111" t="n">
        <x:f>MAX($B$2:B111)</x:f>
        <x:v>1.0115</x:v>
      </x:c>
      <x:c r="H111" t="n">
        <x:f>IFERROR(B111/G111-1,"")</x:f>
        <x:v>-0.09787444389520528</x:v>
      </x:c>
      <x:c r="I111" t="n">
        <x:f>MAX($C$2:C111)</x:f>
        <x:v>1.0422</x:v>
      </x:c>
      <x:c r="J111" t="n">
        <x:f>IFERROR(C111/I111-1,"")</x:f>
        <x:v>-0.07724045288812131</x:v>
      </x:c>
      <x:c r="K111" t="n">
        <x:f>MAX(ABS(VALUE('Sheet2'!D111)-VALUE('Sheet2'!D110)),ABS(VALUE('Sheet2'!E111)-VALUE('Sheet2'!E110)),ABS(VALUE('Sheet2'!F111)-VALUE('Sheet2'!F110)),ABS(VALUE('Sheet2'!G111)-VALUE('Sheet2'!G110)),ABS(VALUE('Sheet2'!H111)-VALUE('Sheet2'!H110)),ABS(VALUE('Sheet2'!I111)-VALUE('Sheet2'!I110)),ABS(VALUE('Sheet2'!J111)-VALUE('Sheet2'!J110)),ABS(VALUE('Sheet2'!K111)-VALUE('Sheet2'!K110)),ABS(VALUE('Sheet2'!L111)-VALUE('Sheet2'!L110)),ABS(VALUE('Sheet2'!M111)-VALUE('Sheet2'!M110)),ABS(VALUE('Sheet2'!N111)-VALUE('Sheet2'!N110)),ABS(VALUE('Sheet2'!O111)-VALUE('Sheet2'!O110)),ABS(VALUE('Sheet2'!P111)-VALUE('Sheet2'!P110)))</x:f>
        <x:v>0.0024000000000000132</x:v>
      </x:c>
      <x:c r="L111" t="n">
        <x:f>SUM(ABS(VALUE('Sheet2'!D111)-VALUE('Sheet2'!D110)),ABS(VALUE('Sheet2'!E111)-VALUE('Sheet2'!E110)),ABS(VALUE('Sheet2'!F111)-VALUE('Sheet2'!F110)),ABS(VALUE('Sheet2'!G111)-VALUE('Sheet2'!G110)),ABS(VALUE('Sheet2'!H111)-VALUE('Sheet2'!H110)),ABS(VALUE('Sheet2'!I111)-VALUE('Sheet2'!I110)),ABS(VALUE('Sheet2'!J111)-VALUE('Sheet2'!J110)),ABS(VALUE('Sheet2'!K111)-VALUE('Sheet2'!K110)),ABS(VALUE('Sheet2'!L111)-VALUE('Sheet2'!L110)),ABS(VALUE('Sheet2'!M111)-VALUE('Sheet2'!M110)),ABS(VALUE('Sheet2'!N111)-VALUE('Sheet2'!N110)),ABS(VALUE('Sheet2'!O111)-VALUE('Sheet2'!O110)),ABS(VALUE('Sheet2'!P111)-VALUE('Sheet2'!P110)))/2</x:f>
        <x:v>0.0040000000000000105</x:v>
      </x:c>
      <x:c r="M111" t="n">
        <x:f>SUMSQ('Sheet2'!D111:P111)</x:f>
        <x:v>0.22277895</x:v>
      </x:c>
      <x:c r="N111" t="n">
        <x:f>VALUE('Sheet2'!D111)</x:f>
        <x:v>0.0631</x:v>
      </x:c>
    </x:row>
    <x:row r="112">
      <x:c r="A112" t="str">
        <x:f>'Sheet2'!A112</x:f>
        <x:v>2025-04-30</x:v>
      </x:c>
      <x:c r="B112" t="n">
        <x:f>VALUE('Sheet2'!B112)</x:f>
        <x:v>0.9121</x:v>
      </x:c>
      <x:c r="C112" t="n">
        <x:f>VALUE('Sheet2'!C112)</x:f>
        <x:v>0.9575</x:v>
      </x:c>
      <x:c r="D112" t="n">
        <x:f>IFERROR(B112/B111-1,"")</x:f>
        <x:v>-0.0004383561643834799</x:v>
      </x:c>
      <x:c r="E112" t="n">
        <x:f>IFERROR(C112/C111-1,"")</x:f>
        <x:v>-0.004367266299261652</x:v>
      </x:c>
      <x:c r="F112" t="n">
        <x:f>IFERROR(D112-E112,"")</x:f>
        <x:v>0.003928910134878172</x:v>
      </x:c>
      <x:c r="G112" t="n">
        <x:f>MAX($B$2:B112)</x:f>
        <x:v>1.0115</x:v>
      </x:c>
      <x:c r="H112" t="n">
        <x:f>IFERROR(B112/G112-1,"")</x:f>
        <x:v>-0.09826989619377169</x:v>
      </x:c>
      <x:c r="I112" t="n">
        <x:f>MAX($C$2:C112)</x:f>
        <x:v>1.0422</x:v>
      </x:c>
      <x:c r="J112" t="n">
        <x:f>IFERROR(C112/I112-1,"")</x:f>
        <x:v>-0.081270389560545</x:v>
      </x:c>
      <x:c r="K112" t="n">
        <x:f>MAX(ABS(VALUE('Sheet2'!D112)-VALUE('Sheet2'!D111)),ABS(VALUE('Sheet2'!E112)-VALUE('Sheet2'!E111)),ABS(VALUE('Sheet2'!F112)-VALUE('Sheet2'!F111)),ABS(VALUE('Sheet2'!G112)-VALUE('Sheet2'!G111)),ABS(VALUE('Sheet2'!H112)-VALUE('Sheet2'!H111)),ABS(VALUE('Sheet2'!I112)-VALUE('Sheet2'!I111)),ABS(VALUE('Sheet2'!J112)-VALUE('Sheet2'!J111)),ABS(VALUE('Sheet2'!K112)-VALUE('Sheet2'!K111)),ABS(VALUE('Sheet2'!L112)-VALUE('Sheet2'!L111)),ABS(VALUE('Sheet2'!M112)-VALUE('Sheet2'!M111)),ABS(VALUE('Sheet2'!N112)-VALUE('Sheet2'!N111)),ABS(VALUE('Sheet2'!O112)-VALUE('Sheet2'!O111)),ABS(VALUE('Sheet2'!P112)-VALUE('Sheet2'!P111)))</x:f>
        <x:v>0.0009000000000000119</x:v>
      </x:c>
      <x:c r="L112" t="n">
        <x:f>SUM(ABS(VALUE('Sheet2'!D112)-VALUE('Sheet2'!D111)),ABS(VALUE('Sheet2'!E112)-VALUE('Sheet2'!E111)),ABS(VALUE('Sheet2'!F112)-VALUE('Sheet2'!F111)),ABS(VALUE('Sheet2'!G112)-VALUE('Sheet2'!G111)),ABS(VALUE('Sheet2'!H112)-VALUE('Sheet2'!H111)),ABS(VALUE('Sheet2'!I112)-VALUE('Sheet2'!I111)),ABS(VALUE('Sheet2'!J112)-VALUE('Sheet2'!J111)),ABS(VALUE('Sheet2'!K112)-VALUE('Sheet2'!K111)),ABS(VALUE('Sheet2'!L112)-VALUE('Sheet2'!L111)),ABS(VALUE('Sheet2'!M112)-VALUE('Sheet2'!M111)),ABS(VALUE('Sheet2'!N112)-VALUE('Sheet2'!N111)),ABS(VALUE('Sheet2'!O112)-VALUE('Sheet2'!O111)),ABS(VALUE('Sheet2'!P112)-VALUE('Sheet2'!P111)))/2</x:f>
        <x:v>0.00145</x:v>
      </x:c>
      <x:c r="M112" t="n">
        <x:f>SUMSQ('Sheet2'!D112:P112)</x:f>
        <x:v>0.22325349999999997</x:v>
      </x:c>
      <x:c r="N112" t="n">
        <x:f>VALUE('Sheet2'!D112)</x:f>
        <x:v>0.063</x:v>
      </x:c>
    </x:row>
    <x:row r="113">
      <x:c r="A113" t="str">
        <x:f>'Sheet2'!A113</x:f>
        <x:v>2025-05-09</x:v>
      </x:c>
      <x:c r="B113" t="n">
        <x:f>VALUE('Sheet2'!B113)</x:f>
        <x:v>0.9225</x:v>
      </x:c>
      <x:c r="C113" t="n">
        <x:f>VALUE('Sheet2'!C113)</x:f>
        <x:v>0.9767</x:v>
      </x:c>
      <x:c r="D113" t="n">
        <x:f>IFERROR(B113/B112-1,"")</x:f>
        <x:v>0.011402258524284559</x:v>
      </x:c>
      <x:c r="E113" t="n">
        <x:f>IFERROR(C113/C112-1,"")</x:f>
        <x:v>0.020052219321148756</x:v>
      </x:c>
      <x:c r="F113" t="n">
        <x:f>IFERROR(D113-E113,"")</x:f>
        <x:v>-0.008649960796864198</x:v>
      </x:c>
      <x:c r="G113" t="n">
        <x:f>MAX($B$2:B113)</x:f>
        <x:v>1.0115</x:v>
      </x:c>
      <x:c r="H113" t="n">
        <x:f>IFERROR(B113/G113-1,"")</x:f>
        <x:v>-0.08798813643104308</x:v>
      </x:c>
      <x:c r="I113" t="n">
        <x:f>MAX($C$2:C113)</x:f>
        <x:v>1.0422</x:v>
      </x:c>
      <x:c r="J113" t="n">
        <x:f>IFERROR(C113/I113-1,"")</x:f>
        <x:v>-0.06284782191517946</x:v>
      </x:c>
      <x:c r="K113" t="n">
        <x:f>MAX(ABS(VALUE('Sheet2'!D113)-VALUE('Sheet2'!D112)),ABS(VALUE('Sheet2'!E113)-VALUE('Sheet2'!E112)),ABS(VALUE('Sheet2'!F113)-VALUE('Sheet2'!F112)),ABS(VALUE('Sheet2'!G113)-VALUE('Sheet2'!G112)),ABS(VALUE('Sheet2'!H113)-VALUE('Sheet2'!H112)),ABS(VALUE('Sheet2'!I113)-VALUE('Sheet2'!I112)),ABS(VALUE('Sheet2'!J113)-VALUE('Sheet2'!J112)),ABS(VALUE('Sheet2'!K113)-VALUE('Sheet2'!K112)),ABS(VALUE('Sheet2'!L113)-VALUE('Sheet2'!L112)),ABS(VALUE('Sheet2'!M113)-VALUE('Sheet2'!M112)),ABS(VALUE('Sheet2'!N113)-VALUE('Sheet2'!N112)),ABS(VALUE('Sheet2'!O113)-VALUE('Sheet2'!O112)),ABS(VALUE('Sheet2'!P113)-VALUE('Sheet2'!P112)))</x:f>
        <x:v>0.0040000000000000036</x:v>
      </x:c>
      <x:c r="L113" t="n">
        <x:f>SUM(ABS(VALUE('Sheet2'!D113)-VALUE('Sheet2'!D112)),ABS(VALUE('Sheet2'!E113)-VALUE('Sheet2'!E112)),ABS(VALUE('Sheet2'!F113)-VALUE('Sheet2'!F112)),ABS(VALUE('Sheet2'!G113)-VALUE('Sheet2'!G112)),ABS(VALUE('Sheet2'!H113)-VALUE('Sheet2'!H112)),ABS(VALUE('Sheet2'!I113)-VALUE('Sheet2'!I112)),ABS(VALUE('Sheet2'!J113)-VALUE('Sheet2'!J112)),ABS(VALUE('Sheet2'!K113)-VALUE('Sheet2'!K112)),ABS(VALUE('Sheet2'!L113)-VALUE('Sheet2'!L112)),ABS(VALUE('Sheet2'!M113)-VALUE('Sheet2'!M112)),ABS(VALUE('Sheet2'!N113)-VALUE('Sheet2'!N112)),ABS(VALUE('Sheet2'!O113)-VALUE('Sheet2'!O112)),ABS(VALUE('Sheet2'!P113)-VALUE('Sheet2'!P112)))/2</x:f>
        <x:v>0.004400000000000001</x:v>
      </x:c>
      <x:c r="M113" t="n">
        <x:f>SUMSQ('Sheet2'!D113:P113)</x:f>
        <x:v>0.22517584000000002</x:v>
      </x:c>
      <x:c r="N113" t="n">
        <x:f>VALUE('Sheet2'!D113)</x:f>
        <x:v>0.0619</x:v>
      </x:c>
    </x:row>
    <x:row r="114">
      <x:c r="A114" t="str">
        <x:f>'Sheet2'!A114</x:f>
        <x:v>2025-05-16</x:v>
      </x:c>
      <x:c r="B114" t="n">
        <x:f>VALUE('Sheet2'!B114)</x:f>
        <x:v>0.9257</x:v>
      </x:c>
      <x:c r="C114" t="n">
        <x:f>VALUE('Sheet2'!C114)</x:f>
        <x:v>0.9876</x:v>
      </x:c>
      <x:c r="D114" t="n">
        <x:f>IFERROR(B114/B113-1,"")</x:f>
        <x:v>0.0034688346883469112</x:v>
      </x:c>
      <x:c r="E114" t="n">
        <x:f>IFERROR(C114/C113-1,"")</x:f>
        <x:v>0.011160028667963617</x:v>
      </x:c>
      <x:c r="F114" t="n">
        <x:f>IFERROR(D114-E114,"")</x:f>
        <x:v>-0.007691193979616706</x:v>
      </x:c>
      <x:c r="G114" t="n">
        <x:f>MAX($B$2:B114)</x:f>
        <x:v>1.0115</x:v>
      </x:c>
      <x:c r="H114" t="n">
        <x:f>IFERROR(B114/G114-1,"")</x:f>
        <x:v>-0.08482451804251123</x:v>
      </x:c>
      <x:c r="I114" t="n">
        <x:f>MAX($C$2:C114)</x:f>
        <x:v>1.0422</x:v>
      </x:c>
      <x:c r="J114" t="n">
        <x:f>IFERROR(C114/I114-1,"")</x:f>
        <x:v>-0.052389176741508336</x:v>
      </x:c>
      <x:c r="K114" t="n">
        <x:f>MAX(ABS(VALUE('Sheet2'!D114)-VALUE('Sheet2'!D113)),ABS(VALUE('Sheet2'!E114)-VALUE('Sheet2'!E113)),ABS(VALUE('Sheet2'!F114)-VALUE('Sheet2'!F113)),ABS(VALUE('Sheet2'!G114)-VALUE('Sheet2'!G113)),ABS(VALUE('Sheet2'!H114)-VALUE('Sheet2'!H113)),ABS(VALUE('Sheet2'!I114)-VALUE('Sheet2'!I113)),ABS(VALUE('Sheet2'!J114)-VALUE('Sheet2'!J113)),ABS(VALUE('Sheet2'!K114)-VALUE('Sheet2'!K113)),ABS(VALUE('Sheet2'!L114)-VALUE('Sheet2'!L113)),ABS(VALUE('Sheet2'!M114)-VALUE('Sheet2'!M113)),ABS(VALUE('Sheet2'!N114)-VALUE('Sheet2'!N113)),ABS(VALUE('Sheet2'!O114)-VALUE('Sheet2'!O113)),ABS(VALUE('Sheet2'!P114)-VALUE('Sheet2'!P113)))</x:f>
        <x:v>0.0014000000000000123</x:v>
      </x:c>
      <x:c r="L114" t="n">
        <x:f>SUM(ABS(VALUE('Sheet2'!D114)-VALUE('Sheet2'!D113)),ABS(VALUE('Sheet2'!E114)-VALUE('Sheet2'!E113)),ABS(VALUE('Sheet2'!F114)-VALUE('Sheet2'!F113)),ABS(VALUE('Sheet2'!G114)-VALUE('Sheet2'!G113)),ABS(VALUE('Sheet2'!H114)-VALUE('Sheet2'!H113)),ABS(VALUE('Sheet2'!I114)-VALUE('Sheet2'!I113)),ABS(VALUE('Sheet2'!J114)-VALUE('Sheet2'!J113)),ABS(VALUE('Sheet2'!K114)-VALUE('Sheet2'!K113)),ABS(VALUE('Sheet2'!L114)-VALUE('Sheet2'!L113)),ABS(VALUE('Sheet2'!M114)-VALUE('Sheet2'!M113)),ABS(VALUE('Sheet2'!N114)-VALUE('Sheet2'!N113)),ABS(VALUE('Sheet2'!O114)-VALUE('Sheet2'!O113)),ABS(VALUE('Sheet2'!P114)-VALUE('Sheet2'!P113)))/2</x:f>
        <x:v>0.0020500000000000206</x:v>
      </x:c>
      <x:c r="M114" t="n">
        <x:f>SUMSQ('Sheet2'!D114:P114)</x:f>
        <x:v>0.22569133000000002</x:v>
      </x:c>
      <x:c r="N114" t="n">
        <x:f>VALUE('Sheet2'!D114)</x:f>
        <x:v>0.0614</x:v>
      </x:c>
    </x:row>
    <x:row r="115">
      <x:c r="A115" t="str">
        <x:f>'Sheet2'!A115</x:f>
        <x:v>2025-05-23</x:v>
      </x:c>
      <x:c r="B115" t="n">
        <x:f>VALUE('Sheet2'!B115)</x:f>
        <x:v>0.9227</x:v>
      </x:c>
      <x:c r="C115" t="n">
        <x:f>VALUE('Sheet2'!C115)</x:f>
        <x:v>0.9859</x:v>
      </x:c>
      <x:c r="D115" t="n">
        <x:f>IFERROR(B115/B114-1,"")</x:f>
        <x:v>-0.0032407907529437008</x:v>
      </x:c>
      <x:c r="E115" t="n">
        <x:f>IFERROR(C115/C114-1,"")</x:f>
        <x:v>-0.0017213446739571259</x:v>
      </x:c>
      <x:c r="F115" t="n">
        <x:f>IFERROR(D115-E115,"")</x:f>
        <x:v>-0.001519446078986575</x:v>
      </x:c>
      <x:c r="G115" t="n">
        <x:f>MAX($B$2:B115)</x:f>
        <x:v>1.0115</x:v>
      </x:c>
      <x:c r="H115" t="n">
        <x:f>IFERROR(B115/G115-1,"")</x:f>
        <x:v>-0.08779041028175982</x:v>
      </x:c>
      <x:c r="I115" t="n">
        <x:f>MAX($C$2:C115)</x:f>
        <x:v>1.0422</x:v>
      </x:c>
      <x:c r="J115" t="n">
        <x:f>IFERROR(C115/I115-1,"")</x:f>
        <x:v>-0.05402034158510849</x:v>
      </x:c>
      <x:c r="K115" t="n">
        <x:f>MAX(ABS(VALUE('Sheet2'!D115)-VALUE('Sheet2'!D114)),ABS(VALUE('Sheet2'!E115)-VALUE('Sheet2'!E114)),ABS(VALUE('Sheet2'!F115)-VALUE('Sheet2'!F114)),ABS(VALUE('Sheet2'!G115)-VALUE('Sheet2'!G114)),ABS(VALUE('Sheet2'!H115)-VALUE('Sheet2'!H114)),ABS(VALUE('Sheet2'!I115)-VALUE('Sheet2'!I114)),ABS(VALUE('Sheet2'!J115)-VALUE('Sheet2'!J114)),ABS(VALUE('Sheet2'!K115)-VALUE('Sheet2'!K114)),ABS(VALUE('Sheet2'!L115)-VALUE('Sheet2'!L114)),ABS(VALUE('Sheet2'!M115)-VALUE('Sheet2'!M114)),ABS(VALUE('Sheet2'!N115)-VALUE('Sheet2'!N114)),ABS(VALUE('Sheet2'!O115)-VALUE('Sheet2'!O114)),ABS(VALUE('Sheet2'!P115)-VALUE('Sheet2'!P114)))</x:f>
        <x:v>0.0011000000000000454</x:v>
      </x:c>
      <x:c r="L115" t="n">
        <x:f>SUM(ABS(VALUE('Sheet2'!D115)-VALUE('Sheet2'!D114)),ABS(VALUE('Sheet2'!E115)-VALUE('Sheet2'!E114)),ABS(VALUE('Sheet2'!F115)-VALUE('Sheet2'!F114)),ABS(VALUE('Sheet2'!G115)-VALUE('Sheet2'!G114)),ABS(VALUE('Sheet2'!H115)-VALUE('Sheet2'!H114)),ABS(VALUE('Sheet2'!I115)-VALUE('Sheet2'!I114)),ABS(VALUE('Sheet2'!J115)-VALUE('Sheet2'!J114)),ABS(VALUE('Sheet2'!K115)-VALUE('Sheet2'!K114)),ABS(VALUE('Sheet2'!L115)-VALUE('Sheet2'!L114)),ABS(VALUE('Sheet2'!M115)-VALUE('Sheet2'!M114)),ABS(VALUE('Sheet2'!N115)-VALUE('Sheet2'!N114)),ABS(VALUE('Sheet2'!O115)-VALUE('Sheet2'!O114)),ABS(VALUE('Sheet2'!P115)-VALUE('Sheet2'!P114)))/2</x:f>
        <x:v>0.0014000000000000332</x:v>
      </x:c>
      <x:c r="M115" t="n">
        <x:f>SUMSQ('Sheet2'!D115:P115)</x:f>
        <x:v>0.22528009000000002</x:v>
      </x:c>
      <x:c r="N115" t="n">
        <x:f>VALUE('Sheet2'!D115)</x:f>
        <x:v>0.0613</x:v>
      </x:c>
    </x:row>
    <x:row r="116">
      <x:c r="A116" t="str">
        <x:f>'Sheet2'!A116</x:f>
        <x:v>2025-05-30</x:v>
      </x:c>
      <x:c r="B116" t="n">
        <x:f>VALUE('Sheet2'!B116)</x:f>
        <x:v>0.9202</x:v>
      </x:c>
      <x:c r="C116" t="n">
        <x:f>VALUE('Sheet2'!C116)</x:f>
        <x:v>0.9752</x:v>
      </x:c>
      <x:c r="D116" t="n">
        <x:f>IFERROR(B116/B115-1,"")</x:f>
        <x:v>-0.002709439687872517</x:v>
      </x:c>
      <x:c r="E116" t="n">
        <x:f>IFERROR(C116/C115-1,"")</x:f>
        <x:v>-0.010853027690435169</x:v>
      </x:c>
      <x:c r="F116" t="n">
        <x:f>IFERROR(D116-E116,"")</x:f>
        <x:v>0.008143588002562652</x:v>
      </x:c>
      <x:c r="G116" t="n">
        <x:f>MAX($B$2:B116)</x:f>
        <x:v>1.0115</x:v>
      </x:c>
      <x:c r="H116" t="n">
        <x:f>IFERROR(B116/G116-1,"")</x:f>
        <x:v>-0.09026198714780032</x:v>
      </x:c>
      <x:c r="I116" t="n">
        <x:f>MAX($C$2:C116)</x:f>
        <x:v>1.0422</x:v>
      </x:c>
      <x:c r="J116" t="n">
        <x:f>IFERROR(C116/I116-1,"")</x:f>
        <x:v>-0.06428708501247371</x:v>
      </x:c>
      <x:c r="K116" t="n">
        <x:f>MAX(ABS(VALUE('Sheet2'!D116)-VALUE('Sheet2'!D115)),ABS(VALUE('Sheet2'!E116)-VALUE('Sheet2'!E115)),ABS(VALUE('Sheet2'!F116)-VALUE('Sheet2'!F115)),ABS(VALUE('Sheet2'!G116)-VALUE('Sheet2'!G115)),ABS(VALUE('Sheet2'!H116)-VALUE('Sheet2'!H115)),ABS(VALUE('Sheet2'!I116)-VALUE('Sheet2'!I115)),ABS(VALUE('Sheet2'!J116)-VALUE('Sheet2'!J115)),ABS(VALUE('Sheet2'!K116)-VALUE('Sheet2'!K115)),ABS(VALUE('Sheet2'!L116)-VALUE('Sheet2'!L115)),ABS(VALUE('Sheet2'!M116)-VALUE('Sheet2'!M115)),ABS(VALUE('Sheet2'!N116)-VALUE('Sheet2'!N115)),ABS(VALUE('Sheet2'!O116)-VALUE('Sheet2'!O115)),ABS(VALUE('Sheet2'!P116)-VALUE('Sheet2'!P115)))</x:f>
        <x:v>0.0024999999999999883</x:v>
      </x:c>
      <x:c r="L116" t="n">
        <x:f>SUM(ABS(VALUE('Sheet2'!D116)-VALUE('Sheet2'!D115)),ABS(VALUE('Sheet2'!E116)-VALUE('Sheet2'!E115)),ABS(VALUE('Sheet2'!F116)-VALUE('Sheet2'!F115)),ABS(VALUE('Sheet2'!G116)-VALUE('Sheet2'!G115)),ABS(VALUE('Sheet2'!H116)-VALUE('Sheet2'!H115)),ABS(VALUE('Sheet2'!I116)-VALUE('Sheet2'!I115)),ABS(VALUE('Sheet2'!J116)-VALUE('Sheet2'!J115)),ABS(VALUE('Sheet2'!K116)-VALUE('Sheet2'!K115)),ABS(VALUE('Sheet2'!L116)-VALUE('Sheet2'!L115)),ABS(VALUE('Sheet2'!M116)-VALUE('Sheet2'!M115)),ABS(VALUE('Sheet2'!N116)-VALUE('Sheet2'!N115)),ABS(VALUE('Sheet2'!O116)-VALUE('Sheet2'!O115)),ABS(VALUE('Sheet2'!P116)-VALUE('Sheet2'!P115)))/2</x:f>
        <x:v>0.003600000000000006</x:v>
      </x:c>
      <x:c r="M116" t="n">
        <x:f>SUMSQ('Sheet2'!D116:P116)</x:f>
        <x:v>0.22618386999999998</x:v>
      </x:c>
      <x:c r="N116" t="n">
        <x:f>VALUE('Sheet2'!D116)</x:f>
        <x:v>0.0612</x:v>
      </x:c>
    </x:row>
    <x:row r="117">
      <x:c r="A117" t="str">
        <x:f>'Sheet2'!A117</x:f>
        <x:v>2025-06-06</x:v>
      </x:c>
      <x:c r="B117" t="n">
        <x:f>VALUE('Sheet2'!B117)</x:f>
        <x:v>0.9281</x:v>
      </x:c>
      <x:c r="C117" t="n">
        <x:f>VALUE('Sheet2'!C117)</x:f>
        <x:v>0.9838</x:v>
      </x:c>
      <x:c r="D117" t="n">
        <x:f>IFERROR(B117/B116-1,"")</x:f>
        <x:v>0.008585090197783085</x:v>
      </x:c>
      <x:c r="E117" t="n">
        <x:f>IFERROR(C117/C116-1,"")</x:f>
        <x:v>0.008818703855619336</x:v>
      </x:c>
      <x:c r="F117" t="n">
        <x:f>IFERROR(D117-E117,"")</x:f>
        <x:v>-0.00023361365783625132</x:v>
      </x:c>
      <x:c r="G117" t="n">
        <x:f>MAX($B$2:B117)</x:f>
        <x:v>1.0115</x:v>
      </x:c>
      <x:c r="H117" t="n">
        <x:f>IFERROR(B117/G117-1,"")</x:f>
        <x:v>-0.0824518042511122</x:v>
      </x:c>
      <x:c r="I117" t="n">
        <x:f>MAX($C$2:C117)</x:f>
        <x:v>1.0422</x:v>
      </x:c>
      <x:c r="J117" t="n">
        <x:f>IFERROR(C117/I117-1,"")</x:f>
        <x:v>-0.05603530992132033</x:v>
      </x:c>
      <x:c r="K117" t="n">
        <x:f>MAX(ABS(VALUE('Sheet2'!D117)-VALUE('Sheet2'!D116)),ABS(VALUE('Sheet2'!E117)-VALUE('Sheet2'!E116)),ABS(VALUE('Sheet2'!F117)-VALUE('Sheet2'!F116)),ABS(VALUE('Sheet2'!G117)-VALUE('Sheet2'!G116)),ABS(VALUE('Sheet2'!H117)-VALUE('Sheet2'!H116)),ABS(VALUE('Sheet2'!I117)-VALUE('Sheet2'!I116)),ABS(VALUE('Sheet2'!J117)-VALUE('Sheet2'!J116)),ABS(VALUE('Sheet2'!K117)-VALUE('Sheet2'!K116)),ABS(VALUE('Sheet2'!L117)-VALUE('Sheet2'!L116)),ABS(VALUE('Sheet2'!M117)-VALUE('Sheet2'!M116)),ABS(VALUE('Sheet2'!N117)-VALUE('Sheet2'!N116)),ABS(VALUE('Sheet2'!O117)-VALUE('Sheet2'!O116)),ABS(VALUE('Sheet2'!P117)-VALUE('Sheet2'!P116)))</x:f>
        <x:v>0.003500000000000003</x:v>
      </x:c>
      <x:c r="L117" t="n">
        <x:f>SUM(ABS(VALUE('Sheet2'!D117)-VALUE('Sheet2'!D116)),ABS(VALUE('Sheet2'!E117)-VALUE('Sheet2'!E116)),ABS(VALUE('Sheet2'!F117)-VALUE('Sheet2'!F116)),ABS(VALUE('Sheet2'!G117)-VALUE('Sheet2'!G116)),ABS(VALUE('Sheet2'!H117)-VALUE('Sheet2'!H116)),ABS(VALUE('Sheet2'!I117)-VALUE('Sheet2'!I116)),ABS(VALUE('Sheet2'!J117)-VALUE('Sheet2'!J116)),ABS(VALUE('Sheet2'!K117)-VALUE('Sheet2'!K116)),ABS(VALUE('Sheet2'!L117)-VALUE('Sheet2'!L116)),ABS(VALUE('Sheet2'!M117)-VALUE('Sheet2'!M116)),ABS(VALUE('Sheet2'!N117)-VALUE('Sheet2'!N116)),ABS(VALUE('Sheet2'!O117)-VALUE('Sheet2'!O116)),ABS(VALUE('Sheet2'!P117)-VALUE('Sheet2'!P116)))/2</x:f>
        <x:v>0.0040000000000000036</x:v>
      </x:c>
      <x:c r="M117" t="n">
        <x:f>SUMSQ('Sheet2'!D117:P117)</x:f>
        <x:v>0.22763887</x:v>
      </x:c>
      <x:c r="N117" t="n">
        <x:f>VALUE('Sheet2'!D117)</x:f>
        <x:v>0.0603</x:v>
      </x:c>
    </x:row>
    <x:row r="118">
      <x:c r="A118" t="str">
        <x:f>'Sheet2'!A118</x:f>
        <x:v>2025-06-13</x:v>
      </x:c>
      <x:c r="B118" t="n">
        <x:f>VALUE('Sheet2'!B118)</x:f>
        <x:v>0.9307</x:v>
      </x:c>
      <x:c r="C118" t="n">
        <x:f>VALUE('Sheet2'!C118)</x:f>
        <x:v>0.9813</x:v>
      </x:c>
      <x:c r="D118" t="n">
        <x:f>IFERROR(B118/B117-1,"")</x:f>
        <x:v>0.0028014222605321493</x:v>
      </x:c>
      <x:c r="E118" t="n">
        <x:f>IFERROR(C118/C117-1,"")</x:f>
        <x:v>-0.002541166903842318</x:v>
      </x:c>
      <x:c r="F118" t="n">
        <x:f>IFERROR(D118-E118,"")</x:f>
        <x:v>0.005342589164374467</x:v>
      </x:c>
      <x:c r="G118" t="n">
        <x:f>MAX($B$2:B118)</x:f>
        <x:v>1.0115</x:v>
      </x:c>
      <x:c r="H118" t="n">
        <x:f>IFERROR(B118/G118-1,"")</x:f>
        <x:v>-0.07988136431043014</x:v>
      </x:c>
      <x:c r="I118" t="n">
        <x:f>MAX($C$2:C118)</x:f>
        <x:v>1.0422</x:v>
      </x:c>
      <x:c r="J118" t="n">
        <x:f>IFERROR(C118/I118-1,"")</x:f>
        <x:v>-0.058434081750143974</x:v>
      </x:c>
      <x:c r="K118" t="n">
        <x:f>MAX(ABS(VALUE('Sheet2'!D118)-VALUE('Sheet2'!D117)),ABS(VALUE('Sheet2'!E118)-VALUE('Sheet2'!E117)),ABS(VALUE('Sheet2'!F118)-VALUE('Sheet2'!F117)),ABS(VALUE('Sheet2'!G118)-VALUE('Sheet2'!G117)),ABS(VALUE('Sheet2'!H118)-VALUE('Sheet2'!H117)),ABS(VALUE('Sheet2'!I118)-VALUE('Sheet2'!I117)),ABS(VALUE('Sheet2'!J118)-VALUE('Sheet2'!J117)),ABS(VALUE('Sheet2'!K118)-VALUE('Sheet2'!K117)),ABS(VALUE('Sheet2'!L118)-VALUE('Sheet2'!L117)),ABS(VALUE('Sheet2'!M118)-VALUE('Sheet2'!M117)),ABS(VALUE('Sheet2'!N118)-VALUE('Sheet2'!N117)),ABS(VALUE('Sheet2'!O118)-VALUE('Sheet2'!O117)),ABS(VALUE('Sheet2'!P118)-VALUE('Sheet2'!P117)))</x:f>
        <x:v>0.0015999999999999903</x:v>
      </x:c>
      <x:c r="L118" t="n">
        <x:f>SUM(ABS(VALUE('Sheet2'!D118)-VALUE('Sheet2'!D117)),ABS(VALUE('Sheet2'!E118)-VALUE('Sheet2'!E117)),ABS(VALUE('Sheet2'!F118)-VALUE('Sheet2'!F117)),ABS(VALUE('Sheet2'!G118)-VALUE('Sheet2'!G117)),ABS(VALUE('Sheet2'!H118)-VALUE('Sheet2'!H117)),ABS(VALUE('Sheet2'!I118)-VALUE('Sheet2'!I117)),ABS(VALUE('Sheet2'!J118)-VALUE('Sheet2'!J117)),ABS(VALUE('Sheet2'!K118)-VALUE('Sheet2'!K117)),ABS(VALUE('Sheet2'!L118)-VALUE('Sheet2'!L117)),ABS(VALUE('Sheet2'!M118)-VALUE('Sheet2'!M117)),ABS(VALUE('Sheet2'!N118)-VALUE('Sheet2'!N117)),ABS(VALUE('Sheet2'!O118)-VALUE('Sheet2'!O117)),ABS(VALUE('Sheet2'!P118)-VALUE('Sheet2'!P117)))/2</x:f>
        <x:v>0.0028499999999999914</x:v>
      </x:c>
      <x:c r="M118" t="n">
        <x:f>SUMSQ('Sheet2'!D118:P118)</x:f>
        <x:v>0.22676314</x:v>
      </x:c>
      <x:c r="N118" t="n">
        <x:f>VALUE('Sheet2'!D118)</x:f>
        <x:v>0.0599</x:v>
      </x:c>
    </x:row>
    <x:row r="119">
      <x:c r="A119" t="str">
        <x:f>'Sheet2'!A119</x:f>
        <x:v>2025-06-20</x:v>
      </x:c>
      <x:c r="B119" t="n">
        <x:f>VALUE('Sheet2'!B119)</x:f>
        <x:v>0.9287</x:v>
      </x:c>
      <x:c r="C119" t="n">
        <x:f>VALUE('Sheet2'!C119)</x:f>
        <x:v>0.9769</x:v>
      </x:c>
      <x:c r="D119" t="n">
        <x:f>IFERROR(B119/B118-1,"")</x:f>
        <x:v>-0.0021489201676158087</x:v>
      </x:c>
      <x:c r="E119" t="n">
        <x:f>IFERROR(C119/C118-1,"")</x:f>
        <x:v>-0.00448384795679202</x:v>
      </x:c>
      <x:c r="F119" t="n">
        <x:f>IFERROR(D119-E119,"")</x:f>
        <x:v>0.002334927789176211</x:v>
      </x:c>
      <x:c r="G119" t="n">
        <x:f>MAX($B$2:B119)</x:f>
        <x:v>1.0115</x:v>
      </x:c>
      <x:c r="H119" t="n">
        <x:f>IFERROR(B119/G119-1,"")</x:f>
        <x:v>-0.08185862580326253</x:v>
      </x:c>
      <x:c r="I119" t="n">
        <x:f>MAX($C$2:C119)</x:f>
        <x:v>1.0422</x:v>
      </x:c>
      <x:c r="J119" t="n">
        <x:f>IFERROR(C119/I119-1,"")</x:f>
        <x:v>-0.06265592016887356</x:v>
      </x:c>
      <x:c r="K119" t="n">
        <x:f>MAX(ABS(VALUE('Sheet2'!D119)-VALUE('Sheet2'!D118)),ABS(VALUE('Sheet2'!E119)-VALUE('Sheet2'!E118)),ABS(VALUE('Sheet2'!F119)-VALUE('Sheet2'!F118)),ABS(VALUE('Sheet2'!G119)-VALUE('Sheet2'!G118)),ABS(VALUE('Sheet2'!H119)-VALUE('Sheet2'!H118)),ABS(VALUE('Sheet2'!I119)-VALUE('Sheet2'!I118)),ABS(VALUE('Sheet2'!J119)-VALUE('Sheet2'!J118)),ABS(VALUE('Sheet2'!K119)-VALUE('Sheet2'!K118)),ABS(VALUE('Sheet2'!L119)-VALUE('Sheet2'!L118)),ABS(VALUE('Sheet2'!M119)-VALUE('Sheet2'!M118)),ABS(VALUE('Sheet2'!N119)-VALUE('Sheet2'!N118)),ABS(VALUE('Sheet2'!O119)-VALUE('Sheet2'!O118)),ABS(VALUE('Sheet2'!P119)-VALUE('Sheet2'!P118)))</x:f>
        <x:v>0.0023000000000000242</x:v>
      </x:c>
      <x:c r="L119" t="n">
        <x:f>SUM(ABS(VALUE('Sheet2'!D119)-VALUE('Sheet2'!D118)),ABS(VALUE('Sheet2'!E119)-VALUE('Sheet2'!E118)),ABS(VALUE('Sheet2'!F119)-VALUE('Sheet2'!F118)),ABS(VALUE('Sheet2'!G119)-VALUE('Sheet2'!G118)),ABS(VALUE('Sheet2'!H119)-VALUE('Sheet2'!H118)),ABS(VALUE('Sheet2'!I119)-VALUE('Sheet2'!I118)),ABS(VALUE('Sheet2'!J119)-VALUE('Sheet2'!J118)),ABS(VALUE('Sheet2'!K119)-VALUE('Sheet2'!K118)),ABS(VALUE('Sheet2'!L119)-VALUE('Sheet2'!L118)),ABS(VALUE('Sheet2'!M119)-VALUE('Sheet2'!M118)),ABS(VALUE('Sheet2'!N119)-VALUE('Sheet2'!N118)),ABS(VALUE('Sheet2'!O119)-VALUE('Sheet2'!O118)),ABS(VALUE('Sheet2'!P119)-VALUE('Sheet2'!P118)))/2</x:f>
        <x:v>0.004549999999999995</x:v>
      </x:c>
      <x:c r="M119" t="n">
        <x:f>SUMSQ('Sheet2'!D119:P119)</x:f>
        <x:v>0.22584973</x:v>
      </x:c>
      <x:c r="N119" t="n">
        <x:f>VALUE('Sheet2'!D119)</x:f>
        <x:v>0.0597</x:v>
      </x:c>
    </x:row>
    <x:row r="120">
      <x:c r="A120" t="str">
        <x:f>'Sheet2'!A120</x:f>
        <x:v>2025-06-27</x:v>
      </x:c>
      <x:c r="B120" t="n">
        <x:f>VALUE('Sheet2'!B120)</x:f>
        <x:v>0.9423</x:v>
      </x:c>
      <x:c r="C120" t="n">
        <x:f>VALUE('Sheet2'!C120)</x:f>
        <x:v>0.9959</x:v>
      </x:c>
      <x:c r="D120" t="n">
        <x:f>IFERROR(B120/B119-1,"")</x:f>
        <x:v>0.014644126197911111</x:v>
      </x:c>
      <x:c r="E120" t="n">
        <x:f>IFERROR(C120/C119-1,"")</x:f>
        <x:v>0.019449278329409347</x:v>
      </x:c>
      <x:c r="F120" t="n">
        <x:f>IFERROR(D120-E120,"")</x:f>
        <x:v>-0.004805152131498236</x:v>
      </x:c>
      <x:c r="G120" t="n">
        <x:f>MAX($B$2:B120)</x:f>
        <x:v>1.0115</x:v>
      </x:c>
      <x:c r="H120" t="n">
        <x:f>IFERROR(B120/G120-1,"")</x:f>
        <x:v>-0.06841324765200196</x:v>
      </x:c>
      <x:c r="I120" t="n">
        <x:f>MAX($C$2:C120)</x:f>
        <x:v>1.0422</x:v>
      </x:c>
      <x:c r="J120" t="n">
        <x:f>IFERROR(C120/I120-1,"")</x:f>
        <x:v>-0.04442525426981381</x:v>
      </x:c>
      <x:c r="K120" t="n">
        <x:f>MAX(ABS(VALUE('Sheet2'!D120)-VALUE('Sheet2'!D119)),ABS(VALUE('Sheet2'!E120)-VALUE('Sheet2'!E119)),ABS(VALUE('Sheet2'!F120)-VALUE('Sheet2'!F119)),ABS(VALUE('Sheet2'!G120)-VALUE('Sheet2'!G119)),ABS(VALUE('Sheet2'!H120)-VALUE('Sheet2'!H119)),ABS(VALUE('Sheet2'!I120)-VALUE('Sheet2'!I119)),ABS(VALUE('Sheet2'!J120)-VALUE('Sheet2'!J119)),ABS(VALUE('Sheet2'!K120)-VALUE('Sheet2'!K119)),ABS(VALUE('Sheet2'!L120)-VALUE('Sheet2'!L119)),ABS(VALUE('Sheet2'!M120)-VALUE('Sheet2'!M119)),ABS(VALUE('Sheet2'!N120)-VALUE('Sheet2'!N119)),ABS(VALUE('Sheet2'!O120)-VALUE('Sheet2'!O119)),ABS(VALUE('Sheet2'!P120)-VALUE('Sheet2'!P119)))</x:f>
        <x:v>0.007599999999999996</x:v>
      </x:c>
      <x:c r="L120" t="n">
        <x:f>SUM(ABS(VALUE('Sheet2'!D120)-VALUE('Sheet2'!D119)),ABS(VALUE('Sheet2'!E120)-VALUE('Sheet2'!E119)),ABS(VALUE('Sheet2'!F120)-VALUE('Sheet2'!F119)),ABS(VALUE('Sheet2'!G120)-VALUE('Sheet2'!G119)),ABS(VALUE('Sheet2'!H120)-VALUE('Sheet2'!H119)),ABS(VALUE('Sheet2'!I120)-VALUE('Sheet2'!I119)),ABS(VALUE('Sheet2'!J120)-VALUE('Sheet2'!J119)),ABS(VALUE('Sheet2'!K120)-VALUE('Sheet2'!K119)),ABS(VALUE('Sheet2'!L120)-VALUE('Sheet2'!L119)),ABS(VALUE('Sheet2'!M120)-VALUE('Sheet2'!M119)),ABS(VALUE('Sheet2'!N120)-VALUE('Sheet2'!N119)),ABS(VALUE('Sheet2'!O120)-VALUE('Sheet2'!O119)),ABS(VALUE('Sheet2'!P120)-VALUE('Sheet2'!P119)))/2</x:f>
        <x:v>0.008850000000000004</x:v>
      </x:c>
      <x:c r="M120" t="n">
        <x:f>SUMSQ('Sheet2'!D120:P120)</x:f>
        <x:v>0.22925113999999996</x:v>
      </x:c>
      <x:c r="N120" t="n">
        <x:f>VALUE('Sheet2'!D120)</x:f>
        <x:v>0.0586</x:v>
      </x:c>
    </x:row>
    <x:row r="121">
      <x:c r="A121" t="str">
        <x:f>'Sheet2'!A121</x:f>
        <x:v>2025-06-30</x:v>
      </x:c>
      <x:c r="B121" t="n">
        <x:f>VALUE('Sheet2'!B121)</x:f>
        <x:v>0.9444</x:v>
      </x:c>
      <x:c r="C121" t="n">
        <x:f>VALUE('Sheet2'!C121)</x:f>
        <x:v>0.9996</x:v>
      </x:c>
      <x:c r="D121" t="n">
        <x:f>IFERROR(B121/B120-1,"")</x:f>
        <x:v>0.0022285896211398093</x:v>
      </x:c>
      <x:c r="E121" t="n">
        <x:f>IFERROR(C121/C120-1,"")</x:f>
        <x:v>0.003715232453057604</x:v>
      </x:c>
      <x:c r="F121" t="n">
        <x:f>IFERROR(D121-E121,"")</x:f>
        <x:v>-0.001486642831917795</x:v>
      </x:c>
      <x:c r="G121" t="n">
        <x:f>MAX($B$2:B121)</x:f>
        <x:v>1.0115</x:v>
      </x:c>
      <x:c r="H121" t="n">
        <x:f>IFERROR(B121/G121-1,"")</x:f>
        <x:v>-0.066337123084528</x:v>
      </x:c>
      <x:c r="I121" t="n">
        <x:f>MAX($C$2:C121)</x:f>
        <x:v>1.0422</x:v>
      </x:c>
      <x:c r="J121" t="n">
        <x:f>IFERROR(C121/I121-1,"")</x:f>
        <x:v>-0.040875071963154874</x:v>
      </x:c>
      <x:c r="K121" t="n">
        <x:f>MAX(ABS(VALUE('Sheet2'!D121)-VALUE('Sheet2'!D120)),ABS(VALUE('Sheet2'!E121)-VALUE('Sheet2'!E120)),ABS(VALUE('Sheet2'!F121)-VALUE('Sheet2'!F120)),ABS(VALUE('Sheet2'!G121)-VALUE('Sheet2'!G120)),ABS(VALUE('Sheet2'!H121)-VALUE('Sheet2'!H120)),ABS(VALUE('Sheet2'!I121)-VALUE('Sheet2'!I120)),ABS(VALUE('Sheet2'!J121)-VALUE('Sheet2'!J120)),ABS(VALUE('Sheet2'!K121)-VALUE('Sheet2'!K120)),ABS(VALUE('Sheet2'!L121)-VALUE('Sheet2'!L120)),ABS(VALUE('Sheet2'!M121)-VALUE('Sheet2'!M120)),ABS(VALUE('Sheet2'!N121)-VALUE('Sheet2'!N120)),ABS(VALUE('Sheet2'!O121)-VALUE('Sheet2'!O120)),ABS(VALUE('Sheet2'!P121)-VALUE('Sheet2'!P120)))</x:f>
        <x:v>0.0020000000000000018</x:v>
      </x:c>
      <x:c r="L121" t="n">
        <x:f>SUM(ABS(VALUE('Sheet2'!D121)-VALUE('Sheet2'!D120)),ABS(VALUE('Sheet2'!E121)-VALUE('Sheet2'!E120)),ABS(VALUE('Sheet2'!F121)-VALUE('Sheet2'!F120)),ABS(VALUE('Sheet2'!G121)-VALUE('Sheet2'!G120)),ABS(VALUE('Sheet2'!H121)-VALUE('Sheet2'!H120)),ABS(VALUE('Sheet2'!I121)-VALUE('Sheet2'!I120)),ABS(VALUE('Sheet2'!J121)-VALUE('Sheet2'!J120)),ABS(VALUE('Sheet2'!K121)-VALUE('Sheet2'!K120)),ABS(VALUE('Sheet2'!L121)-VALUE('Sheet2'!L120)),ABS(VALUE('Sheet2'!M121)-VALUE('Sheet2'!M120)),ABS(VALUE('Sheet2'!N121)-VALUE('Sheet2'!N120)),ABS(VALUE('Sheet2'!O121)-VALUE('Sheet2'!O120)),ABS(VALUE('Sheet2'!P121)-VALUE('Sheet2'!P120)))/2</x:f>
        <x:v>0.002100000000000001</x:v>
      </x:c>
      <x:c r="M121" t="n">
        <x:f>SUMSQ('Sheet2'!D121:P121)</x:f>
        <x:v>0.23031501999999998</x:v>
      </x:c>
      <x:c r="N121" t="n">
        <x:f>VALUE('Sheet2'!D121)</x:f>
        <x:v>0.0583</x:v>
      </x:c>
    </x:row>
    <x:row r="122">
      <x:c r="A122" t="str">
        <x:f>'Sheet2'!A122</x:f>
        <x:v>2025-07-04</x:v>
      </x:c>
      <x:c r="B122" t="n">
        <x:f>VALUE('Sheet2'!B122)</x:f>
        <x:v>0.9468</x:v>
      </x:c>
      <x:c r="C122" t="n">
        <x:f>VALUE('Sheet2'!C122)</x:f>
        <x:v>1.0113</x:v>
      </x:c>
      <x:c r="D122" t="n">
        <x:f>IFERROR(B122/B121-1,"")</x:f>
        <x:v>0.0025412960609909607</x:v>
      </x:c>
      <x:c r="E122" t="n">
        <x:f>IFERROR(C122/C121-1,"")</x:f>
        <x:v>0.01170468187274909</x:v>
      </x:c>
      <x:c r="F122" t="n">
        <x:f>IFERROR(D122-E122,"")</x:f>
        <x:v>-0.009163385811758129</x:v>
      </x:c>
      <x:c r="G122" t="n">
        <x:f>MAX($B$2:B122)</x:f>
        <x:v>1.0115</x:v>
      </x:c>
      <x:c r="H122" t="n">
        <x:f>IFERROR(B122/G122-1,"")</x:f>
        <x:v>-0.06396440929312908</x:v>
      </x:c>
      <x:c r="I122" t="n">
        <x:f>MAX($C$2:C122)</x:f>
        <x:v>1.0422</x:v>
      </x:c>
      <x:c r="J122" t="n">
        <x:f>IFERROR(C122/I122-1,"")</x:f>
        <x:v>-0.02964881980426015</x:v>
      </x:c>
      <x:c r="K122" t="n">
        <x:f>MAX(ABS(VALUE('Sheet2'!D122)-VALUE('Sheet2'!D121)),ABS(VALUE('Sheet2'!E122)-VALUE('Sheet2'!E121)),ABS(VALUE('Sheet2'!F122)-VALUE('Sheet2'!F121)),ABS(VALUE('Sheet2'!G122)-VALUE('Sheet2'!G121)),ABS(VALUE('Sheet2'!H122)-VALUE('Sheet2'!H121)),ABS(VALUE('Sheet2'!I122)-VALUE('Sheet2'!I121)),ABS(VALUE('Sheet2'!J122)-VALUE('Sheet2'!J121)),ABS(VALUE('Sheet2'!K122)-VALUE('Sheet2'!K121)),ABS(VALUE('Sheet2'!L122)-VALUE('Sheet2'!L121)),ABS(VALUE('Sheet2'!M122)-VALUE('Sheet2'!M121)),ABS(VALUE('Sheet2'!N122)-VALUE('Sheet2'!N121)),ABS(VALUE('Sheet2'!O122)-VALUE('Sheet2'!O121)),ABS(VALUE('Sheet2'!P122)-VALUE('Sheet2'!P121)))</x:f>
        <x:v>0.0011000000000000176</x:v>
      </x:c>
      <x:c r="L122" t="n">
        <x:f>SUM(ABS(VALUE('Sheet2'!D122)-VALUE('Sheet2'!D121)),ABS(VALUE('Sheet2'!E122)-VALUE('Sheet2'!E121)),ABS(VALUE('Sheet2'!F122)-VALUE('Sheet2'!F121)),ABS(VALUE('Sheet2'!G122)-VALUE('Sheet2'!G121)),ABS(VALUE('Sheet2'!H122)-VALUE('Sheet2'!H121)),ABS(VALUE('Sheet2'!I122)-VALUE('Sheet2'!I121)),ABS(VALUE('Sheet2'!J122)-VALUE('Sheet2'!J121)),ABS(VALUE('Sheet2'!K122)-VALUE('Sheet2'!K121)),ABS(VALUE('Sheet2'!L122)-VALUE('Sheet2'!L121)),ABS(VALUE('Sheet2'!M122)-VALUE('Sheet2'!M121)),ABS(VALUE('Sheet2'!N122)-VALUE('Sheet2'!N121)),ABS(VALUE('Sheet2'!O122)-VALUE('Sheet2'!O121)),ABS(VALUE('Sheet2'!P122)-VALUE('Sheet2'!P121)))/2</x:f>
        <x:v>0.0014000000000000193</x:v>
      </x:c>
      <x:c r="M122" t="n">
        <x:f>SUMSQ('Sheet2'!D122:P122)</x:f>
        <x:v>0.2302523</x:v>
      </x:c>
      <x:c r="N122" t="n">
        <x:f>VALUE('Sheet2'!D122)</x:f>
        <x:v>0.058</x:v>
      </x:c>
    </x:row>
    <x:row r="123">
      <x:c r="A123" t="str">
        <x:f>'Sheet2'!A123</x:f>
        <x:v>2025-07-11</x:v>
      </x:c>
      <x:c r="B123" t="n">
        <x:f>VALUE('Sheet2'!B123)</x:f>
        <x:v>0.9547</x:v>
      </x:c>
      <x:c r="C123" t="n">
        <x:f>VALUE('Sheet2'!C123)</x:f>
        <x:v>1.0196</x:v>
      </x:c>
      <x:c r="D123" t="n">
        <x:f>IFERROR(B123/B122-1,"")</x:f>
        <x:v>0.008343895226024634</x:v>
      </x:c>
      <x:c r="E123" t="n">
        <x:f>IFERROR(C123/C122-1,"")</x:f>
        <x:v>0.008207257984772065</x:v>
      </x:c>
      <x:c r="F123" t="n">
        <x:f>IFERROR(D123-E123,"")</x:f>
        <x:v>0.0001366372412525685</x:v>
      </x:c>
      <x:c r="G123" t="n">
        <x:f>MAX($B$2:B123)</x:f>
        <x:v>1.0115</x:v>
      </x:c>
      <x:c r="H123" t="n">
        <x:f>IFERROR(B123/G123-1,"")</x:f>
        <x:v>-0.056154226396440965</x:v>
      </x:c>
      <x:c r="I123" t="n">
        <x:f>MAX($C$2:C123)</x:f>
        <x:v>1.0422</x:v>
      </x:c>
      <x:c r="J123" t="n">
        <x:f>IFERROR(C123/I123-1,"")</x:f>
        <x:v>-0.021684897332565733</x:v>
      </x:c>
      <x:c r="K123" t="n">
        <x:f>MAX(ABS(VALUE('Sheet2'!D123)-VALUE('Sheet2'!D122)),ABS(VALUE('Sheet2'!E123)-VALUE('Sheet2'!E122)),ABS(VALUE('Sheet2'!F123)-VALUE('Sheet2'!F122)),ABS(VALUE('Sheet2'!G123)-VALUE('Sheet2'!G122)),ABS(VALUE('Sheet2'!H123)-VALUE('Sheet2'!H122)),ABS(VALUE('Sheet2'!I123)-VALUE('Sheet2'!I122)),ABS(VALUE('Sheet2'!J123)-VALUE('Sheet2'!J122)),ABS(VALUE('Sheet2'!K123)-VALUE('Sheet2'!K122)),ABS(VALUE('Sheet2'!L123)-VALUE('Sheet2'!L122)),ABS(VALUE('Sheet2'!M123)-VALUE('Sheet2'!M122)),ABS(VALUE('Sheet2'!N123)-VALUE('Sheet2'!N122)),ABS(VALUE('Sheet2'!O123)-VALUE('Sheet2'!O122)),ABS(VALUE('Sheet2'!P123)-VALUE('Sheet2'!P122)))</x:f>
        <x:v>0.004400000000000015</x:v>
      </x:c>
      <x:c r="L123" t="n">
        <x:f>SUM(ABS(VALUE('Sheet2'!D123)-VALUE('Sheet2'!D122)),ABS(VALUE('Sheet2'!E123)-VALUE('Sheet2'!E122)),ABS(VALUE('Sheet2'!F123)-VALUE('Sheet2'!F122)),ABS(VALUE('Sheet2'!G123)-VALUE('Sheet2'!G122)),ABS(VALUE('Sheet2'!H123)-VALUE('Sheet2'!H122)),ABS(VALUE('Sheet2'!I123)-VALUE('Sheet2'!I122)),ABS(VALUE('Sheet2'!J123)-VALUE('Sheet2'!J122)),ABS(VALUE('Sheet2'!K123)-VALUE('Sheet2'!K122)),ABS(VALUE('Sheet2'!L123)-VALUE('Sheet2'!L122)),ABS(VALUE('Sheet2'!M123)-VALUE('Sheet2'!M122)),ABS(VALUE('Sheet2'!N123)-VALUE('Sheet2'!N122)),ABS(VALUE('Sheet2'!O123)-VALUE('Sheet2'!O122)),ABS(VALUE('Sheet2'!P123)-VALUE('Sheet2'!P122)))/2</x:f>
        <x:v>0.004899999999999998</x:v>
      </x:c>
      <x:c r="M123" t="n">
        <x:f>SUMSQ('Sheet2'!D123:P123)</x:f>
        <x:v>0.23233108000000002</x:v>
      </x:c>
      <x:c r="N123" t="n">
        <x:f>VALUE('Sheet2'!D123)</x:f>
        <x:v>0.0572</x:v>
      </x:c>
    </x:row>
    <x:row r="124">
      <x:c r="A124" t="str">
        <x:f>'Sheet2'!A124</x:f>
        <x:v>2025-07-18</x:v>
      </x:c>
      <x:c r="B124" t="n">
        <x:f>VALUE('Sheet2'!B124)</x:f>
        <x:v>0.964</x:v>
      </x:c>
      <x:c r="C124" t="n">
        <x:f>VALUE('Sheet2'!C124)</x:f>
        <x:v>1.0307</x:v>
      </x:c>
      <x:c r="D124" t="n">
        <x:f>IFERROR(B124/B123-1,"")</x:f>
        <x:v>0.009741279983240814</x:v>
      </x:c>
      <x:c r="E124" t="n">
        <x:f>IFERROR(C124/C123-1,"")</x:f>
        <x:v>0.01088662220478609</x:v>
      </x:c>
      <x:c r="F124" t="n">
        <x:f>IFERROR(D124-E124,"")</x:f>
        <x:v>-0.0011453422215452758</x:v>
      </x:c>
      <x:c r="G124" t="n">
        <x:f>MAX($B$2:B124)</x:f>
        <x:v>1.0115</x:v>
      </x:c>
      <x:c r="H124" t="n">
        <x:f>IFERROR(B124/G124-1,"")</x:f>
        <x:v>-0.046959960454770244</x:v>
      </x:c>
      <x:c r="I124" t="n">
        <x:f>MAX($C$2:C124)</x:f>
        <x:v>1.0422</x:v>
      </x:c>
      <x:c r="J124" t="n">
        <x:f>IFERROR(C124/I124-1,"")</x:f>
        <x:v>-0.011034350412588823</x:v>
      </x:c>
      <x:c r="K124" t="n">
        <x:f>MAX(ABS(VALUE('Sheet2'!D124)-VALUE('Sheet2'!D123)),ABS(VALUE('Sheet2'!E124)-VALUE('Sheet2'!E123)),ABS(VALUE('Sheet2'!F124)-VALUE('Sheet2'!F123)),ABS(VALUE('Sheet2'!G124)-VALUE('Sheet2'!G123)),ABS(VALUE('Sheet2'!H124)-VALUE('Sheet2'!H123)),ABS(VALUE('Sheet2'!I124)-VALUE('Sheet2'!I123)),ABS(VALUE('Sheet2'!J124)-VALUE('Sheet2'!J123)),ABS(VALUE('Sheet2'!K124)-VALUE('Sheet2'!K123)),ABS(VALUE('Sheet2'!L124)-VALUE('Sheet2'!L123)),ABS(VALUE('Sheet2'!M124)-VALUE('Sheet2'!M123)),ABS(VALUE('Sheet2'!N124)-VALUE('Sheet2'!N123)),ABS(VALUE('Sheet2'!O124)-VALUE('Sheet2'!O123)),ABS(VALUE('Sheet2'!P124)-VALUE('Sheet2'!P123)))</x:f>
        <x:v>0.0018000000000000238</x:v>
      </x:c>
      <x:c r="L124" t="n">
        <x:f>SUM(ABS(VALUE('Sheet2'!D124)-VALUE('Sheet2'!D123)),ABS(VALUE('Sheet2'!E124)-VALUE('Sheet2'!E123)),ABS(VALUE('Sheet2'!F124)-VALUE('Sheet2'!F123)),ABS(VALUE('Sheet2'!G124)-VALUE('Sheet2'!G123)),ABS(VALUE('Sheet2'!H124)-VALUE('Sheet2'!H123)),ABS(VALUE('Sheet2'!I124)-VALUE('Sheet2'!I123)),ABS(VALUE('Sheet2'!J124)-VALUE('Sheet2'!J123)),ABS(VALUE('Sheet2'!K124)-VALUE('Sheet2'!K123)),ABS(VALUE('Sheet2'!L124)-VALUE('Sheet2'!L123)),ABS(VALUE('Sheet2'!M124)-VALUE('Sheet2'!M123)),ABS(VALUE('Sheet2'!N124)-VALUE('Sheet2'!N123)),ABS(VALUE('Sheet2'!O124)-VALUE('Sheet2'!O123)),ABS(VALUE('Sheet2'!P124)-VALUE('Sheet2'!P123)))/2</x:f>
        <x:v>0.0028000000000000004</x:v>
      </x:c>
      <x:c r="M124" t="n">
        <x:f>SUMSQ('Sheet2'!D124:P124)</x:f>
        <x:v>0.23300746000000003</x:v>
      </x:c>
      <x:c r="N124" t="n">
        <x:f>VALUE('Sheet2'!D124)</x:f>
        <x:v>0.0564</x:v>
      </x:c>
    </x:row>
    <x:row r="125">
      <x:c r="A125" t="str">
        <x:f>'Sheet2'!A125</x:f>
        <x:v>2025-07-25</x:v>
      </x:c>
      <x:c r="B125" t="n">
        <x:f>VALUE('Sheet2'!B125)</x:f>
        <x:v>0.9789</x:v>
      </x:c>
      <x:c r="C125" t="n">
        <x:f>VALUE('Sheet2'!C125)</x:f>
        <x:v>1.0481</x:v>
      </x:c>
      <x:c r="D125" t="n">
        <x:f>IFERROR(B125/B124-1,"")</x:f>
        <x:v>0.015456431535269655</x:v>
      </x:c>
      <x:c r="E125" t="n">
        <x:f>IFERROR(C125/C124-1,"")</x:f>
        <x:v>0.01688173086252065</x:v>
      </x:c>
      <x:c r="F125" t="n">
        <x:f>IFERROR(D125-E125,"")</x:f>
        <x:v>-0.001425299327250995</x:v>
      </x:c>
      <x:c r="G125" t="n">
        <x:f>MAX($B$2:B125)</x:f>
        <x:v>1.0115</x:v>
      </x:c>
      <x:c r="H125" t="n">
        <x:f>IFERROR(B125/G125-1,"")</x:f>
        <x:v>-0.03222936233316864</x:v>
      </x:c>
      <x:c r="I125" t="n">
        <x:f>MAX($C$2:C125)</x:f>
        <x:v>1.0481</x:v>
      </x:c>
      <x:c r="J125" t="n">
        <x:f>IFERROR(C125/I125-1,"")</x:f>
        <x:v>0</x:v>
      </x:c>
      <x:c r="K125" t="n">
        <x:f>MAX(ABS(VALUE('Sheet2'!D125)-VALUE('Sheet2'!D124)),ABS(VALUE('Sheet2'!E125)-VALUE('Sheet2'!E124)),ABS(VALUE('Sheet2'!F125)-VALUE('Sheet2'!F124)),ABS(VALUE('Sheet2'!G125)-VALUE('Sheet2'!G124)),ABS(VALUE('Sheet2'!H125)-VALUE('Sheet2'!H124)),ABS(VALUE('Sheet2'!I125)-VALUE('Sheet2'!I124)),ABS(VALUE('Sheet2'!J125)-VALUE('Sheet2'!J124)),ABS(VALUE('Sheet2'!K125)-VALUE('Sheet2'!K124)),ABS(VALUE('Sheet2'!L125)-VALUE('Sheet2'!L124)),ABS(VALUE('Sheet2'!M125)-VALUE('Sheet2'!M124)),ABS(VALUE('Sheet2'!N125)-VALUE('Sheet2'!N124)),ABS(VALUE('Sheet2'!O125)-VALUE('Sheet2'!O124)),ABS(VALUE('Sheet2'!P125)-VALUE('Sheet2'!P124)))</x:f>
        <x:v>0.0031999999999999806</x:v>
      </x:c>
      <x:c r="L125" t="n">
        <x:f>SUM(ABS(VALUE('Sheet2'!D125)-VALUE('Sheet2'!D124)),ABS(VALUE('Sheet2'!E125)-VALUE('Sheet2'!E124)),ABS(VALUE('Sheet2'!F125)-VALUE('Sheet2'!F124)),ABS(VALUE('Sheet2'!G125)-VALUE('Sheet2'!G124)),ABS(VALUE('Sheet2'!H125)-VALUE('Sheet2'!H124)),ABS(VALUE('Sheet2'!I125)-VALUE('Sheet2'!I124)),ABS(VALUE('Sheet2'!J125)-VALUE('Sheet2'!J124)),ABS(VALUE('Sheet2'!K125)-VALUE('Sheet2'!K124)),ABS(VALUE('Sheet2'!L125)-VALUE('Sheet2'!L124)),ABS(VALUE('Sheet2'!M125)-VALUE('Sheet2'!M124)),ABS(VALUE('Sheet2'!N125)-VALUE('Sheet2'!N124)),ABS(VALUE('Sheet2'!O125)-VALUE('Sheet2'!O124)),ABS(VALUE('Sheet2'!P125)-VALUE('Sheet2'!P124)))/2</x:f>
        <x:v>0.005349999999999976</x:v>
      </x:c>
      <x:c r="M125" t="n">
        <x:f>SUMSQ('Sheet2'!D125:P125)</x:f>
        <x:v>0.23401230999999997</x:v>
      </x:c>
      <x:c r="N125" t="n">
        <x:f>VALUE('Sheet2'!D125)</x:f>
        <x:v>0.0552</x:v>
      </x:c>
    </x:row>
    <x:row r="126">
      <x:c r="A126" t="str">
        <x:f>'Sheet2'!A126</x:f>
        <x:v>2025-07-31</x:v>
      </x:c>
      <x:c r="B126" t="n">
        <x:f>VALUE('Sheet2'!B126)</x:f>
        <x:v>0.969</x:v>
      </x:c>
      <x:c r="C126" t="n">
        <x:f>VALUE('Sheet2'!C126)</x:f>
        <x:v>1.035</x:v>
      </x:c>
      <x:c r="D126" t="n">
        <x:f>IFERROR(B126/B125-1,"")</x:f>
        <x:v>-0.01011339258351207</x:v>
      </x:c>
      <x:c r="E126" t="n">
        <x:f>IFERROR(C126/C125-1,"")</x:f>
        <x:v>-0.012498807365709519</x:v>
      </x:c>
      <x:c r="F126" t="n">
        <x:f>IFERROR(D126-E126,"")</x:f>
        <x:v>0.002385414782197448</x:v>
      </x:c>
      <x:c r="G126" t="n">
        <x:f>MAX($B$2:B126)</x:f>
        <x:v>1.0115</x:v>
      </x:c>
      <x:c r="H126" t="n">
        <x:f>IFERROR(B126/G126-1,"")</x:f>
        <x:v>-0.04201680672268915</x:v>
      </x:c>
      <x:c r="I126" t="n">
        <x:f>MAX($C$2:C126)</x:f>
        <x:v>1.0481</x:v>
      </x:c>
      <x:c r="J126" t="n">
        <x:f>IFERROR(C126/I126-1,"")</x:f>
        <x:v>-0.012498807365709519</x:v>
      </x:c>
      <x:c r="K126" t="n">
        <x:f>MAX(ABS(VALUE('Sheet2'!D126)-VALUE('Sheet2'!D125)),ABS(VALUE('Sheet2'!E126)-VALUE('Sheet2'!E125)),ABS(VALUE('Sheet2'!F126)-VALUE('Sheet2'!F125)),ABS(VALUE('Sheet2'!G126)-VALUE('Sheet2'!G125)),ABS(VALUE('Sheet2'!H126)-VALUE('Sheet2'!H125)),ABS(VALUE('Sheet2'!I126)-VALUE('Sheet2'!I125)),ABS(VALUE('Sheet2'!J126)-VALUE('Sheet2'!J125)),ABS(VALUE('Sheet2'!K126)-VALUE('Sheet2'!K125)),ABS(VALUE('Sheet2'!L126)-VALUE('Sheet2'!L125)),ABS(VALUE('Sheet2'!M126)-VALUE('Sheet2'!M125)),ABS(VALUE('Sheet2'!N126)-VALUE('Sheet2'!N125)),ABS(VALUE('Sheet2'!O126)-VALUE('Sheet2'!O125)),ABS(VALUE('Sheet2'!P126)-VALUE('Sheet2'!P125)))</x:f>
        <x:v>0.030999999999999986</x:v>
      </x:c>
      <x:c r="L126" t="n">
        <x:f>SUM(ABS(VALUE('Sheet2'!D126)-VALUE('Sheet2'!D125)),ABS(VALUE('Sheet2'!E126)-VALUE('Sheet2'!E125)),ABS(VALUE('Sheet2'!F126)-VALUE('Sheet2'!F125)),ABS(VALUE('Sheet2'!G126)-VALUE('Sheet2'!G125)),ABS(VALUE('Sheet2'!H126)-VALUE('Sheet2'!H125)),ABS(VALUE('Sheet2'!I126)-VALUE('Sheet2'!I125)),ABS(VALUE('Sheet2'!J126)-VALUE('Sheet2'!J125)),ABS(VALUE('Sheet2'!K126)-VALUE('Sheet2'!K125)),ABS(VALUE('Sheet2'!L126)-VALUE('Sheet2'!L125)),ABS(VALUE('Sheet2'!M126)-VALUE('Sheet2'!M125)),ABS(VALUE('Sheet2'!N126)-VALUE('Sheet2'!N125)),ABS(VALUE('Sheet2'!O126)-VALUE('Sheet2'!O125)),ABS(VALUE('Sheet2'!P126)-VALUE('Sheet2'!P125)))/2</x:f>
        <x:v>0.03405</x:v>
      </x:c>
      <x:c r="M126" t="n">
        <x:f>SUMSQ('Sheet2'!D126:P126)</x:f>
        <x:v>0.24006622000000002</x:v>
      </x:c>
      <x:c r="N126" t="n">
        <x:f>VALUE('Sheet2'!D126)</x:f>
        <x:v>0.0246</x:v>
      </x:c>
    </x:row>
    <x:row r="127">
      <x:c r="A127" t="str">
        <x:f>'Sheet2'!A127</x:f>
        <x:v>2025-08-01</x:v>
      </x:c>
      <x:c r="B127" t="n">
        <x:f>VALUE('Sheet2'!B127)</x:f>
        <x:v>0.9668</x:v>
      </x:c>
      <x:c r="C127" t="n">
        <x:f>VALUE('Sheet2'!C127)</x:f>
        <x:v>1.0298</x:v>
      </x:c>
      <x:c r="D127" t="n">
        <x:f>IFERROR(B127/B126-1,"")</x:f>
        <x:v>-0.002270381836945279</x:v>
      </x:c>
      <x:c r="E127" t="n">
        <x:f>IFERROR(C127/C126-1,"")</x:f>
        <x:v>-0.0050241545893718875</x:v>
      </x:c>
      <x:c r="F127" t="n">
        <x:f>IFERROR(D127-E127,"")</x:f>
        <x:v>0.0027537727524266087</x:v>
      </x:c>
      <x:c r="G127" t="n">
        <x:f>MAX($B$2:B127)</x:f>
        <x:v>1.0115</x:v>
      </x:c>
      <x:c r="H127" t="n">
        <x:f>IFERROR(B127/G127-1,"")</x:f>
        <x:v>-0.044191794364804804</x:v>
      </x:c>
      <x:c r="I127" t="n">
        <x:f>MAX($C$2:C127)</x:f>
        <x:v>1.0481</x:v>
      </x:c>
      <x:c r="J127" t="n">
        <x:f>IFERROR(C127/I127-1,"")</x:f>
        <x:v>-0.017460166014693246</x:v>
      </x:c>
      <x:c r="K127" t="n">
        <x:f>MAX(ABS(VALUE('Sheet2'!D127)-VALUE('Sheet2'!D126)),ABS(VALUE('Sheet2'!E127)-VALUE('Sheet2'!E126)),ABS(VALUE('Sheet2'!F127)-VALUE('Sheet2'!F126)),ABS(VALUE('Sheet2'!G127)-VALUE('Sheet2'!G126)),ABS(VALUE('Sheet2'!H127)-VALUE('Sheet2'!H126)),ABS(VALUE('Sheet2'!I127)-VALUE('Sheet2'!I126)),ABS(VALUE('Sheet2'!J127)-VALUE('Sheet2'!J126)),ABS(VALUE('Sheet2'!K127)-VALUE('Sheet2'!K126)),ABS(VALUE('Sheet2'!L127)-VALUE('Sheet2'!L126)),ABS(VALUE('Sheet2'!M127)-VALUE('Sheet2'!M126)),ABS(VALUE('Sheet2'!N127)-VALUE('Sheet2'!N126)),ABS(VALUE('Sheet2'!O127)-VALUE('Sheet2'!O126)),ABS(VALUE('Sheet2'!P127)-VALUE('Sheet2'!P126)))</x:f>
        <x:v>0.0979</x:v>
      </x:c>
      <x:c r="L127" t="n">
        <x:f>SUM(ABS(VALUE('Sheet2'!D127)-VALUE('Sheet2'!D126)),ABS(VALUE('Sheet2'!E127)-VALUE('Sheet2'!E126)),ABS(VALUE('Sheet2'!F127)-VALUE('Sheet2'!F126)),ABS(VALUE('Sheet2'!G127)-VALUE('Sheet2'!G126)),ABS(VALUE('Sheet2'!H127)-VALUE('Sheet2'!H126)),ABS(VALUE('Sheet2'!I127)-VALUE('Sheet2'!I126)),ABS(VALUE('Sheet2'!J127)-VALUE('Sheet2'!J126)),ABS(VALUE('Sheet2'!K127)-VALUE('Sheet2'!K126)),ABS(VALUE('Sheet2'!L127)-VALUE('Sheet2'!L126)),ABS(VALUE('Sheet2'!M127)-VALUE('Sheet2'!M126)),ABS(VALUE('Sheet2'!N127)-VALUE('Sheet2'!N126)),ABS(VALUE('Sheet2'!O127)-VALUE('Sheet2'!O126)),ABS(VALUE('Sheet2'!P127)-VALUE('Sheet2'!P126)))/2</x:f>
        <x:v>0.0984</x:v>
      </x:c>
      <x:c r="M127" t="n">
        <x:f>SUMSQ('Sheet2'!D127:P127)</x:f>
        <x:v>0.22442036</x:v>
      </x:c>
      <x:c r="N127" t="n">
        <x:f>VALUE('Sheet2'!D127)</x:f>
        <x:v>0.1225</x:v>
      </x:c>
    </x:row>
    <x:row r="128">
      <x:c r="A128" t="str">
        <x:f>'Sheet2'!A128</x:f>
        <x:v>2025-08-08</x:v>
      </x:c>
      <x:c r="B128" t="n">
        <x:f>VALUE('Sheet2'!B128)</x:f>
        <x:v>0.98</x:v>
      </x:c>
      <x:c r="C128" t="n">
        <x:f>VALUE('Sheet2'!C128)</x:f>
        <x:v>1.0425</x:v>
      </x:c>
      <x:c r="D128" t="n">
        <x:f>IFERROR(B128/B127-1,"")</x:f>
        <x:v>0.013653289201489338</x:v>
      </x:c>
      <x:c r="E128" t="n">
        <x:f>IFERROR(C128/C127-1,"")</x:f>
        <x:v>0.012332491745969953</x:v>
      </x:c>
      <x:c r="F128" t="n">
        <x:f>IFERROR(D128-E128,"")</x:f>
        <x:v>0.0013207974555193847</x:v>
      </x:c>
      <x:c r="G128" t="n">
        <x:f>MAX($B$2:B128)</x:f>
        <x:v>1.0115</x:v>
      </x:c>
      <x:c r="H128" t="n">
        <x:f>IFERROR(B128/G128-1,"")</x:f>
        <x:v>-0.03114186851211076</x:v>
      </x:c>
      <x:c r="I128" t="n">
        <x:f>MAX($C$2:C128)</x:f>
        <x:v>1.0481</x:v>
      </x:c>
      <x:c r="J128" t="n">
        <x:f>IFERROR(C128/I128-1,"")</x:f>
        <x:v>-0.005343001621982646</x:v>
      </x:c>
      <x:c r="K128" t="n">
        <x:f>MAX(ABS(VALUE('Sheet2'!D128)-VALUE('Sheet2'!D127)),ABS(VALUE('Sheet2'!E128)-VALUE('Sheet2'!E127)),ABS(VALUE('Sheet2'!F128)-VALUE('Sheet2'!F127)),ABS(VALUE('Sheet2'!G128)-VALUE('Sheet2'!G127)),ABS(VALUE('Sheet2'!H128)-VALUE('Sheet2'!H127)),ABS(VALUE('Sheet2'!I128)-VALUE('Sheet2'!I127)),ABS(VALUE('Sheet2'!J128)-VALUE('Sheet2'!J127)),ABS(VALUE('Sheet2'!K128)-VALUE('Sheet2'!K127)),ABS(VALUE('Sheet2'!L128)-VALUE('Sheet2'!L127)),ABS(VALUE('Sheet2'!M128)-VALUE('Sheet2'!M127)),ABS(VALUE('Sheet2'!N128)-VALUE('Sheet2'!N127)),ABS(VALUE('Sheet2'!O128)-VALUE('Sheet2'!O127)),ABS(VALUE('Sheet2'!P128)-VALUE('Sheet2'!P127)))</x:f>
        <x:v>0.0030999999999999917</x:v>
      </x:c>
      <x:c r="L128" t="n">
        <x:f>SUM(ABS(VALUE('Sheet2'!D128)-VALUE('Sheet2'!D127)),ABS(VALUE('Sheet2'!E128)-VALUE('Sheet2'!E127)),ABS(VALUE('Sheet2'!F128)-VALUE('Sheet2'!F127)),ABS(VALUE('Sheet2'!G128)-VALUE('Sheet2'!G127)),ABS(VALUE('Sheet2'!H128)-VALUE('Sheet2'!H127)),ABS(VALUE('Sheet2'!I128)-VALUE('Sheet2'!I127)),ABS(VALUE('Sheet2'!J128)-VALUE('Sheet2'!J127)),ABS(VALUE('Sheet2'!K128)-VALUE('Sheet2'!K127)),ABS(VALUE('Sheet2'!L128)-VALUE('Sheet2'!L127)),ABS(VALUE('Sheet2'!M128)-VALUE('Sheet2'!M127)),ABS(VALUE('Sheet2'!N128)-VALUE('Sheet2'!N127)),ABS(VALUE('Sheet2'!O128)-VALUE('Sheet2'!O127)),ABS(VALUE('Sheet2'!P128)-VALUE('Sheet2'!P127)))/2</x:f>
        <x:v>0.004499999999999997</x:v>
      </x:c>
      <x:c r="M128" t="n">
        <x:f>SUMSQ('Sheet2'!D128:P128)</x:f>
        <x:v>0.22605834000000002</x:v>
      </x:c>
      <x:c r="N128" t="n">
        <x:f>VALUE('Sheet2'!D128)</x:f>
        <x:v>0.1206</x:v>
      </x:c>
    </x:row>
    <x:row r="129">
      <x:c r="A129" t="str">
        <x:f>'Sheet2'!A129</x:f>
        <x:v>2025-08-15</x:v>
      </x:c>
      <x:c r="B129" t="n">
        <x:f>VALUE('Sheet2'!B129)</x:f>
        <x:v>0.9987</x:v>
      </x:c>
      <x:c r="C129" t="n">
        <x:f>VALUE('Sheet2'!C129)</x:f>
        <x:v>1.0672</x:v>
      </x:c>
      <x:c r="D129" t="n">
        <x:f>IFERROR(B129/B128-1,"")</x:f>
        <x:v>0.019081632653061176</x:v>
      </x:c>
      <x:c r="E129" t="n">
        <x:f>IFERROR(C129/C128-1,"")</x:f>
        <x:v>0.02369304556354912</x:v>
      </x:c>
      <x:c r="F129" t="n">
        <x:f>IFERROR(D129-E129,"")</x:f>
        <x:v>-0.004611412910487944</x:v>
      </x:c>
      <x:c r="G129" t="n">
        <x:f>MAX($B$2:B129)</x:f>
        <x:v>1.0115</x:v>
      </x:c>
      <x:c r="H129" t="n">
        <x:f>IFERROR(B129/G129-1,"")</x:f>
        <x:v>-0.012654473554127521</x:v>
      </x:c>
      <x:c r="I129" t="n">
        <x:f>MAX($C$2:C129)</x:f>
        <x:v>1.0672</x:v>
      </x:c>
      <x:c r="J129" t="n">
        <x:f>IFERROR(C129/I129-1,"")</x:f>
        <x:v>0</x:v>
      </x:c>
      <x:c r="K129" t="n">
        <x:f>MAX(ABS(VALUE('Sheet2'!D129)-VALUE('Sheet2'!D128)),ABS(VALUE('Sheet2'!E129)-VALUE('Sheet2'!E128)),ABS(VALUE('Sheet2'!F129)-VALUE('Sheet2'!F128)),ABS(VALUE('Sheet2'!G129)-VALUE('Sheet2'!G128)),ABS(VALUE('Sheet2'!H129)-VALUE('Sheet2'!H128)),ABS(VALUE('Sheet2'!I129)-VALUE('Sheet2'!I128)),ABS(VALUE('Sheet2'!J129)-VALUE('Sheet2'!J128)),ABS(VALUE('Sheet2'!K129)-VALUE('Sheet2'!K128)),ABS(VALUE('Sheet2'!L129)-VALUE('Sheet2'!L128)),ABS(VALUE('Sheet2'!M129)-VALUE('Sheet2'!M128)),ABS(VALUE('Sheet2'!N129)-VALUE('Sheet2'!N128)),ABS(VALUE('Sheet2'!O129)-VALUE('Sheet2'!O128)),ABS(VALUE('Sheet2'!P129)-VALUE('Sheet2'!P128)))</x:f>
        <x:v>0.1027</x:v>
      </x:c>
      <x:c r="L129" t="n">
        <x:f>SUM(ABS(VALUE('Sheet2'!D129)-VALUE('Sheet2'!D128)),ABS(VALUE('Sheet2'!E129)-VALUE('Sheet2'!E128)),ABS(VALUE('Sheet2'!F129)-VALUE('Sheet2'!F128)),ABS(VALUE('Sheet2'!G129)-VALUE('Sheet2'!G128)),ABS(VALUE('Sheet2'!H129)-VALUE('Sheet2'!H128)),ABS(VALUE('Sheet2'!I129)-VALUE('Sheet2'!I128)),ABS(VALUE('Sheet2'!J129)-VALUE('Sheet2'!J128)),ABS(VALUE('Sheet2'!K129)-VALUE('Sheet2'!K128)),ABS(VALUE('Sheet2'!L129)-VALUE('Sheet2'!L128)),ABS(VALUE('Sheet2'!M129)-VALUE('Sheet2'!M128)),ABS(VALUE('Sheet2'!N129)-VALUE('Sheet2'!N128)),ABS(VALUE('Sheet2'!O129)-VALUE('Sheet2'!O128)),ABS(VALUE('Sheet2'!P129)-VALUE('Sheet2'!P128)))/2</x:f>
        <x:v>0.1096</x:v>
      </x:c>
      <x:c r="M129" t="n">
        <x:f>SUMSQ('Sheet2'!D129:P129)</x:f>
        <x:v>0.22539008000000002</x:v>
      </x:c>
      <x:c r="N129" t="n">
        <x:f>VALUE('Sheet2'!D129)</x:f>
        <x:v>0.0179</x:v>
      </x:c>
    </x:row>
    <x:row r="130">
      <x:c r="A130" t="str">
        <x:f>'Sheet2'!A130</x:f>
        <x:v>2025-08-22</x:v>
      </x:c>
      <x:c r="B130" t="n">
        <x:f>VALUE('Sheet2'!B130)</x:f>
        <x:v>1.0146</x:v>
      </x:c>
      <x:c r="C130" t="n">
        <x:f>VALUE('Sheet2'!C130)</x:f>
        <x:v>1.1118</x:v>
      </x:c>
      <x:c r="D130" t="n">
        <x:f>IFERROR(B130/B129-1,"")</x:f>
        <x:v>0.01592069690597775</x:v>
      </x:c>
      <x:c r="E130" t="n">
        <x:f>IFERROR(C130/C129-1,"")</x:f>
        <x:v>0.041791604197900956</x:v>
      </x:c>
      <x:c r="F130" t="n">
        <x:f>IFERROR(D130-E130,"")</x:f>
        <x:v>-0.025870907291923206</x:v>
      </x:c>
      <x:c r="G130" t="n">
        <x:f>MAX($B$2:B130)</x:f>
        <x:v>1.0146</x:v>
      </x:c>
      <x:c r="H130" t="n">
        <x:f>IFERROR(B130/G130-1,"")</x:f>
        <x:v>0</x:v>
      </x:c>
      <x:c r="I130" t="n">
        <x:f>MAX($C$2:C130)</x:f>
        <x:v>1.1118</x:v>
      </x:c>
      <x:c r="J130" t="n">
        <x:f>IFERROR(C130/I130-1,"")</x:f>
        <x:v>0</x:v>
      </x:c>
      <x:c r="K130" t="n">
        <x:f>MAX(ABS(VALUE('Sheet2'!D130)-VALUE('Sheet2'!D129)),ABS(VALUE('Sheet2'!E130)-VALUE('Sheet2'!E129)),ABS(VALUE('Sheet2'!F130)-VALUE('Sheet2'!F129)),ABS(VALUE('Sheet2'!G130)-VALUE('Sheet2'!G129)),ABS(VALUE('Sheet2'!H130)-VALUE('Sheet2'!H129)),ABS(VALUE('Sheet2'!I130)-VALUE('Sheet2'!I129)),ABS(VALUE('Sheet2'!J130)-VALUE('Sheet2'!J129)),ABS(VALUE('Sheet2'!K130)-VALUE('Sheet2'!K129)),ABS(VALUE('Sheet2'!L130)-VALUE('Sheet2'!L129)),ABS(VALUE('Sheet2'!M130)-VALUE('Sheet2'!M129)),ABS(VALUE('Sheet2'!N130)-VALUE('Sheet2'!N129)),ABS(VALUE('Sheet2'!O130)-VALUE('Sheet2'!O129)),ABS(VALUE('Sheet2'!P130)-VALUE('Sheet2'!P129)))</x:f>
        <x:v>0.008099999999999996</x:v>
      </x:c>
      <x:c r="L130" t="n">
        <x:f>SUM(ABS(VALUE('Sheet2'!D130)-VALUE('Sheet2'!D129)),ABS(VALUE('Sheet2'!E130)-VALUE('Sheet2'!E129)),ABS(VALUE('Sheet2'!F130)-VALUE('Sheet2'!F129)),ABS(VALUE('Sheet2'!G130)-VALUE('Sheet2'!G129)),ABS(VALUE('Sheet2'!H130)-VALUE('Sheet2'!H129)),ABS(VALUE('Sheet2'!I130)-VALUE('Sheet2'!I129)),ABS(VALUE('Sheet2'!J130)-VALUE('Sheet2'!J129)),ABS(VALUE('Sheet2'!K130)-VALUE('Sheet2'!K129)),ABS(VALUE('Sheet2'!L130)-VALUE('Sheet2'!L129)),ABS(VALUE('Sheet2'!M130)-VALUE('Sheet2'!M129)),ABS(VALUE('Sheet2'!N130)-VALUE('Sheet2'!N129)),ABS(VALUE('Sheet2'!O130)-VALUE('Sheet2'!O129)),ABS(VALUE('Sheet2'!P130)-VALUE('Sheet2'!P129)))/2</x:f>
        <x:v>0.009099999999999995</x:v>
      </x:c>
      <x:c r="M130" t="n">
        <x:f>SUMSQ('Sheet2'!D130:P130)</x:f>
        <x:v>0.22988884</x:v>
      </x:c>
      <x:c r="N130" t="n">
        <x:f>VALUE('Sheet2'!D130)</x:f>
        <x:v>0.0173</x:v>
      </x:c>
    </x:row>
    <x:row r="131">
      <x:c r="A131" t="str">
        <x:f>'Sheet2'!A131</x:f>
        <x:v>2025-08-29</x:v>
      </x:c>
      <x:c r="B131" t="n">
        <x:f>VALUE('Sheet2'!B131)</x:f>
        <x:v>1.0256</x:v>
      </x:c>
      <x:c r="C131" t="n">
        <x:f>VALUE('Sheet2'!C131)</x:f>
        <x:v>1.142</x:v>
      </x:c>
      <x:c r="D131" t="n">
        <x:f>IFERROR(B131/B130-1,"")</x:f>
        <x:v>0.010841711019121014</x:v>
      </x:c>
      <x:c r="E131" t="n">
        <x:f>IFERROR(C131/C130-1,"")</x:f>
        <x:v>0.02716315884151821</x:v>
      </x:c>
      <x:c r="F131" t="n">
        <x:f>IFERROR(D131-E131,"")</x:f>
        <x:v>-0.016321447822397195</x:v>
      </x:c>
      <x:c r="G131" t="n">
        <x:f>MAX($B$2:B131)</x:f>
        <x:v>1.0256</x:v>
      </x:c>
      <x:c r="H131" t="n">
        <x:f>IFERROR(B131/G131-1,"")</x:f>
        <x:v>0</x:v>
      </x:c>
      <x:c r="I131" t="n">
        <x:f>MAX($C$2:C131)</x:f>
        <x:v>1.142</x:v>
      </x:c>
      <x:c r="J131" t="n">
        <x:f>IFERROR(C131/I131-1,"")</x:f>
        <x:v>0</x:v>
      </x:c>
      <x:c r="K131" t="n">
        <x:f>MAX(ABS(VALUE('Sheet2'!D131)-VALUE('Sheet2'!D130)),ABS(VALUE('Sheet2'!E131)-VALUE('Sheet2'!E130)),ABS(VALUE('Sheet2'!F131)-VALUE('Sheet2'!F130)),ABS(VALUE('Sheet2'!G131)-VALUE('Sheet2'!G130)),ABS(VALUE('Sheet2'!H131)-VALUE('Sheet2'!H130)),ABS(VALUE('Sheet2'!I131)-VALUE('Sheet2'!I130)),ABS(VALUE('Sheet2'!J131)-VALUE('Sheet2'!J130)),ABS(VALUE('Sheet2'!K131)-VALUE('Sheet2'!K130)),ABS(VALUE('Sheet2'!L131)-VALUE('Sheet2'!L130)),ABS(VALUE('Sheet2'!M131)-VALUE('Sheet2'!M130)),ABS(VALUE('Sheet2'!N131)-VALUE('Sheet2'!N130)),ABS(VALUE('Sheet2'!O131)-VALUE('Sheet2'!O130)),ABS(VALUE('Sheet2'!P131)-VALUE('Sheet2'!P130)))</x:f>
        <x:v>0.00269999999999998</x:v>
      </x:c>
      <x:c r="L131" t="n">
        <x:f>SUM(ABS(VALUE('Sheet2'!D131)-VALUE('Sheet2'!D130)),ABS(VALUE('Sheet2'!E131)-VALUE('Sheet2'!E130)),ABS(VALUE('Sheet2'!F131)-VALUE('Sheet2'!F130)),ABS(VALUE('Sheet2'!G131)-VALUE('Sheet2'!G130)),ABS(VALUE('Sheet2'!H131)-VALUE('Sheet2'!H130)),ABS(VALUE('Sheet2'!I131)-VALUE('Sheet2'!I130)),ABS(VALUE('Sheet2'!J131)-VALUE('Sheet2'!J130)),ABS(VALUE('Sheet2'!K131)-VALUE('Sheet2'!K130)),ABS(VALUE('Sheet2'!L131)-VALUE('Sheet2'!L130)),ABS(VALUE('Sheet2'!M131)-VALUE('Sheet2'!M130)),ABS(VALUE('Sheet2'!N131)-VALUE('Sheet2'!N130)),ABS(VALUE('Sheet2'!O131)-VALUE('Sheet2'!O130)),ABS(VALUE('Sheet2'!P131)-VALUE('Sheet2'!P130)))/2</x:f>
        <x:v>0.0032999999999999852</x:v>
      </x:c>
      <x:c r="M131" t="n">
        <x:f>SUMSQ('Sheet2'!D131:P131)</x:f>
        <x:v>0.23147292</x:v>
      </x:c>
      <x:c r="N131" t="n">
        <x:f>VALUE('Sheet2'!D131)</x:f>
        <x:v>0.0169</x:v>
      </x:c>
    </x:row>
    <x:row r="132">
      <x:c r="A132" t="str">
        <x:f>'Sheet2'!A132</x:f>
        <x:v>2025-09-05</x:v>
      </x:c>
      <x:c r="B132" t="n">
        <x:f>VALUE('Sheet2'!B132)</x:f>
        <x:v>1.0208</x:v>
      </x:c>
      <x:c r="C132" t="n">
        <x:f>VALUE('Sheet2'!C132)</x:f>
        <x:v>1.1327</x:v>
      </x:c>
      <x:c r="D132" t="n">
        <x:f>IFERROR(B132/B131-1,"")</x:f>
        <x:v>-0.004680187207488418</x:v>
      </x:c>
      <x:c r="E132" t="n">
        <x:f>IFERROR(C132/C131-1,"")</x:f>
        <x:v>-0.008143607705779266</x:v>
      </x:c>
      <x:c r="F132" t="n">
        <x:f>IFERROR(D132-E132,"")</x:f>
        <x:v>0.003463420498290848</x:v>
      </x:c>
      <x:c r="G132" t="n">
        <x:f>MAX($B$2:B132)</x:f>
        <x:v>1.0256</x:v>
      </x:c>
      <x:c r="H132" t="n">
        <x:f>IFERROR(B132/G132-1,"")</x:f>
        <x:v>-0.004680187207488418</x:v>
      </x:c>
      <x:c r="I132" t="n">
        <x:f>MAX($C$2:C132)</x:f>
        <x:v>1.142</x:v>
      </x:c>
      <x:c r="J132" t="n">
        <x:f>IFERROR(C132/I132-1,"")</x:f>
        <x:v>-0.008143607705779266</x:v>
      </x:c>
      <x:c r="K132" t="n">
        <x:f>MAX(ABS(VALUE('Sheet2'!D132)-VALUE('Sheet2'!D131)),ABS(VALUE('Sheet2'!E132)-VALUE('Sheet2'!E131)),ABS(VALUE('Sheet2'!F132)-VALUE('Sheet2'!F131)),ABS(VALUE('Sheet2'!G132)-VALUE('Sheet2'!G131)),ABS(VALUE('Sheet2'!H132)-VALUE('Sheet2'!H131)),ABS(VALUE('Sheet2'!I132)-VALUE('Sheet2'!I131)),ABS(VALUE('Sheet2'!J132)-VALUE('Sheet2'!J131)),ABS(VALUE('Sheet2'!K132)-VALUE('Sheet2'!K131)),ABS(VALUE('Sheet2'!L132)-VALUE('Sheet2'!L131)),ABS(VALUE('Sheet2'!M132)-VALUE('Sheet2'!M131)),ABS(VALUE('Sheet2'!N132)-VALUE('Sheet2'!N131)),ABS(VALUE('Sheet2'!O132)-VALUE('Sheet2'!O131)),ABS(VALUE('Sheet2'!P132)-VALUE('Sheet2'!P131)))</x:f>
        <x:v>0.0043999999999999595</x:v>
      </x:c>
      <x:c r="L132" t="n">
        <x:f>SUM(ABS(VALUE('Sheet2'!D132)-VALUE('Sheet2'!D131)),ABS(VALUE('Sheet2'!E132)-VALUE('Sheet2'!E131)),ABS(VALUE('Sheet2'!F132)-VALUE('Sheet2'!F131)),ABS(VALUE('Sheet2'!G132)-VALUE('Sheet2'!G131)),ABS(VALUE('Sheet2'!H132)-VALUE('Sheet2'!H131)),ABS(VALUE('Sheet2'!I132)-VALUE('Sheet2'!I131)),ABS(VALUE('Sheet2'!J132)-VALUE('Sheet2'!J131)),ABS(VALUE('Sheet2'!K132)-VALUE('Sheet2'!K131)),ABS(VALUE('Sheet2'!L132)-VALUE('Sheet2'!L131)),ABS(VALUE('Sheet2'!M132)-VALUE('Sheet2'!M131)),ABS(VALUE('Sheet2'!N132)-VALUE('Sheet2'!N131)),ABS(VALUE('Sheet2'!O132)-VALUE('Sheet2'!O131)),ABS(VALUE('Sheet2'!P132)-VALUE('Sheet2'!P131)))/2</x:f>
        <x:v>0.005249999999999972</x:v>
      </x:c>
      <x:c r="M132" t="n">
        <x:f>SUMSQ('Sheet2'!D132:P132)</x:f>
        <x:v>0.22912497000000004</x:v>
      </x:c>
      <x:c r="N132" t="n">
        <x:f>VALUE('Sheet2'!D132)</x:f>
        <x:v>0.0166</x:v>
      </x:c>
    </x:row>
    <x:row r="133">
      <x:c r="A133" t="str">
        <x:f>'Sheet2'!A133</x:f>
        <x:v>2025-09-12</x:v>
      </x:c>
      <x:c r="B133" t="n">
        <x:f>VALUE('Sheet2'!B133)</x:f>
        <x:v>1.0354</x:v>
      </x:c>
      <x:c r="C133" t="n">
        <x:f>VALUE('Sheet2'!C133)</x:f>
        <x:v>1.1484</x:v>
      </x:c>
      <x:c r="D133" t="n">
        <x:f>IFERROR(B133/B132-1,"")</x:f>
        <x:v>0.014302507836990719</x:v>
      </x:c>
      <x:c r="E133" t="n">
        <x:f>IFERROR(C133/C132-1,"")</x:f>
        <x:v>0.013860686854418658</x:v>
      </x:c>
      <x:c r="F133" t="n">
        <x:f>IFERROR(D133-E133,"")</x:f>
        <x:v>0.00044182098257206093</x:v>
      </x:c>
      <x:c r="G133" t="n">
        <x:f>MAX($B$2:B133)</x:f>
        <x:v>1.0354</x:v>
      </x:c>
      <x:c r="H133" t="n">
        <x:f>IFERROR(B133/G133-1,"")</x:f>
        <x:v>0</x:v>
      </x:c>
      <x:c r="I133" t="n">
        <x:f>MAX($C$2:C133)</x:f>
        <x:v>1.1484</x:v>
      </x:c>
      <x:c r="J133" t="n">
        <x:f>IFERROR(C133/I133-1,"")</x:f>
        <x:v>0</x:v>
      </x:c>
      <x:c r="K133" t="n">
        <x:f>MAX(ABS(VALUE('Sheet2'!D133)-VALUE('Sheet2'!D132)),ABS(VALUE('Sheet2'!E133)-VALUE('Sheet2'!E132)),ABS(VALUE('Sheet2'!F133)-VALUE('Sheet2'!F132)),ABS(VALUE('Sheet2'!G133)-VALUE('Sheet2'!G132)),ABS(VALUE('Sheet2'!H133)-VALUE('Sheet2'!H132)),ABS(VALUE('Sheet2'!I133)-VALUE('Sheet2'!I132)),ABS(VALUE('Sheet2'!J133)-VALUE('Sheet2'!J132)),ABS(VALUE('Sheet2'!K133)-VALUE('Sheet2'!K132)),ABS(VALUE('Sheet2'!L133)-VALUE('Sheet2'!L132)),ABS(VALUE('Sheet2'!M133)-VALUE('Sheet2'!M132)),ABS(VALUE('Sheet2'!N133)-VALUE('Sheet2'!N132)),ABS(VALUE('Sheet2'!O133)-VALUE('Sheet2'!O132)),ABS(VALUE('Sheet2'!P133)-VALUE('Sheet2'!P132)))</x:f>
        <x:v>0.003799999999999998</x:v>
      </x:c>
      <x:c r="L133" t="n">
        <x:f>SUM(ABS(VALUE('Sheet2'!D133)-VALUE('Sheet2'!D132)),ABS(VALUE('Sheet2'!E133)-VALUE('Sheet2'!E132)),ABS(VALUE('Sheet2'!F133)-VALUE('Sheet2'!F132)),ABS(VALUE('Sheet2'!G133)-VALUE('Sheet2'!G132)),ABS(VALUE('Sheet2'!H133)-VALUE('Sheet2'!H132)),ABS(VALUE('Sheet2'!I133)-VALUE('Sheet2'!I132)),ABS(VALUE('Sheet2'!J133)-VALUE('Sheet2'!J132)),ABS(VALUE('Sheet2'!K133)-VALUE('Sheet2'!K132)),ABS(VALUE('Sheet2'!L133)-VALUE('Sheet2'!L132)),ABS(VALUE('Sheet2'!M133)-VALUE('Sheet2'!M132)),ABS(VALUE('Sheet2'!N133)-VALUE('Sheet2'!N132)),ABS(VALUE('Sheet2'!O133)-VALUE('Sheet2'!O132)),ABS(VALUE('Sheet2'!P133)-VALUE('Sheet2'!P132)))/2</x:f>
        <x:v>0.007099999999999995</x:v>
      </x:c>
      <x:c r="M133" t="n">
        <x:f>SUMSQ('Sheet2'!D133:P133)</x:f>
        <x:v>0.23117195</x:v>
      </x:c>
      <x:c r="N133" t="n">
        <x:f>VALUE('Sheet2'!D133)</x:f>
        <x:v>0.0161</x:v>
      </x:c>
    </x:row>
    <x:row r="134">
      <x:c r="A134" t="str">
        <x:f>'Sheet2'!A134</x:f>
        <x:v>2025-09-19</x:v>
      </x:c>
      <x:c r="B134" t="n">
        <x:f>VALUE('Sheet2'!B134)</x:f>
        <x:v>1.0334</x:v>
      </x:c>
      <x:c r="C134" t="n">
        <x:f>VALUE('Sheet2'!C134)</x:f>
        <x:v>1.1433</x:v>
      </x:c>
      <x:c r="D134" t="n">
        <x:f>IFERROR(B134/B133-1,"")</x:f>
        <x:v>-0.0019316206297083083</x:v>
      </x:c>
      <x:c r="E134" t="n">
        <x:f>IFERROR(C134/C133-1,"")</x:f>
        <x:v>-0.00444096133751315</x:v>
      </x:c>
      <x:c r="F134" t="n">
        <x:f>IFERROR(D134-E134,"")</x:f>
        <x:v>0.0025093407078048413</x:v>
      </x:c>
      <x:c r="G134" t="n">
        <x:f>MAX($B$2:B134)</x:f>
        <x:v>1.0354</x:v>
      </x:c>
      <x:c r="H134" t="n">
        <x:f>IFERROR(B134/G134-1,"")</x:f>
        <x:v>-0.0019316206297083083</x:v>
      </x:c>
      <x:c r="I134" t="n">
        <x:f>MAX($C$2:C134)</x:f>
        <x:v>1.1484</x:v>
      </x:c>
      <x:c r="J134" t="n">
        <x:f>IFERROR(C134/I134-1,"")</x:f>
        <x:v>-0.00444096133751315</x:v>
      </x:c>
      <x:c r="K134" t="n">
        <x:f>MAX(ABS(VALUE('Sheet2'!D134)-VALUE('Sheet2'!D133)),ABS(VALUE('Sheet2'!E134)-VALUE('Sheet2'!E133)),ABS(VALUE('Sheet2'!F134)-VALUE('Sheet2'!F133)),ABS(VALUE('Sheet2'!G134)-VALUE('Sheet2'!G133)),ABS(VALUE('Sheet2'!H134)-VALUE('Sheet2'!H133)),ABS(VALUE('Sheet2'!I134)-VALUE('Sheet2'!I133)),ABS(VALUE('Sheet2'!J134)-VALUE('Sheet2'!J133)),ABS(VALUE('Sheet2'!K134)-VALUE('Sheet2'!K133)),ABS(VALUE('Sheet2'!L134)-VALUE('Sheet2'!L133)),ABS(VALUE('Sheet2'!M134)-VALUE('Sheet2'!M133)),ABS(VALUE('Sheet2'!N134)-VALUE('Sheet2'!N133)),ABS(VALUE('Sheet2'!O134)-VALUE('Sheet2'!O133)),ABS(VALUE('Sheet2'!P134)-VALUE('Sheet2'!P133)))</x:f>
        <x:v>0.0011000000000000038</x:v>
      </x:c>
      <x:c r="L134" t="n">
        <x:f>SUM(ABS(VALUE('Sheet2'!D134)-VALUE('Sheet2'!D133)),ABS(VALUE('Sheet2'!E134)-VALUE('Sheet2'!E133)),ABS(VALUE('Sheet2'!F134)-VALUE('Sheet2'!F133)),ABS(VALUE('Sheet2'!G134)-VALUE('Sheet2'!G133)),ABS(VALUE('Sheet2'!H134)-VALUE('Sheet2'!H133)),ABS(VALUE('Sheet2'!I134)-VALUE('Sheet2'!I133)),ABS(VALUE('Sheet2'!J134)-VALUE('Sheet2'!J133)),ABS(VALUE('Sheet2'!K134)-VALUE('Sheet2'!K133)),ABS(VALUE('Sheet2'!L134)-VALUE('Sheet2'!L133)),ABS(VALUE('Sheet2'!M134)-VALUE('Sheet2'!M133)),ABS(VALUE('Sheet2'!N134)-VALUE('Sheet2'!N133)),ABS(VALUE('Sheet2'!O134)-VALUE('Sheet2'!O133)),ABS(VALUE('Sheet2'!P134)-VALUE('Sheet2'!P133)))/2</x:f>
        <x:v>0.0018000000000000065</x:v>
      </x:c>
      <x:c r="M134" t="n">
        <x:f>SUMSQ('Sheet2'!D134:P134)</x:f>
        <x:v>0.23146535000000001</x:v>
      </x:c>
      <x:c r="N134" t="n">
        <x:f>VALUE('Sheet2'!D134)</x:f>
        <x:v>0.0159</x:v>
      </x:c>
    </x:row>
    <x:row r="135">
      <x:c r="A135" t="str">
        <x:f>'Sheet2'!A135</x:f>
        <x:v>2025-09-26</x:v>
      </x:c>
      <x:c r="B135" t="n">
        <x:f>VALUE('Sheet2'!B135)</x:f>
        <x:v>1.0279</x:v>
      </x:c>
      <x:c r="C135" t="n">
        <x:f>VALUE('Sheet2'!C135)</x:f>
        <x:v>1.1555</x:v>
      </x:c>
      <x:c r="D135" t="n">
        <x:f>IFERROR(B135/B134-1,"")</x:f>
        <x:v>-0.005322237275014574</x:v>
      </x:c>
      <x:c r="E135" t="n">
        <x:f>IFERROR(C135/C134-1,"")</x:f>
        <x:v>0.010670865039797084</x:v>
      </x:c>
      <x:c r="F135" t="n">
        <x:f>IFERROR(D135-E135,"")</x:f>
        <x:v>-0.015993102314811658</x:v>
      </x:c>
      <x:c r="G135" t="n">
        <x:f>MAX($B$2:B135)</x:f>
        <x:v>1.0354</x:v>
      </x:c>
      <x:c r="H135" t="n">
        <x:f>IFERROR(B135/G135-1,"")</x:f>
        <x:v>-0.007243577361406239</x:v>
      </x:c>
      <x:c r="I135" t="n">
        <x:f>MAX($C$2:C135)</x:f>
        <x:v>1.1555</x:v>
      </x:c>
      <x:c r="J135" t="n">
        <x:f>IFERROR(C135/I135-1,"")</x:f>
        <x:v>0</x:v>
      </x:c>
      <x:c r="K135" t="n">
        <x:f>MAX(ABS(VALUE('Sheet2'!D135)-VALUE('Sheet2'!D134)),ABS(VALUE('Sheet2'!E135)-VALUE('Sheet2'!E134)),ABS(VALUE('Sheet2'!F135)-VALUE('Sheet2'!F134)),ABS(VALUE('Sheet2'!G135)-VALUE('Sheet2'!G134)),ABS(VALUE('Sheet2'!H135)-VALUE('Sheet2'!H134)),ABS(VALUE('Sheet2'!I135)-VALUE('Sheet2'!I134)),ABS(VALUE('Sheet2'!J135)-VALUE('Sheet2'!J134)),ABS(VALUE('Sheet2'!K135)-VALUE('Sheet2'!K134)),ABS(VALUE('Sheet2'!L135)-VALUE('Sheet2'!L134)),ABS(VALUE('Sheet2'!M135)-VALUE('Sheet2'!M134)),ABS(VALUE('Sheet2'!N135)-VALUE('Sheet2'!N134)),ABS(VALUE('Sheet2'!O135)-VALUE('Sheet2'!O134)),ABS(VALUE('Sheet2'!P135)-VALUE('Sheet2'!P134)))</x:f>
        <x:v>0.0007000000000000062</x:v>
      </x:c>
      <x:c r="L135" t="n">
        <x:f>SUM(ABS(VALUE('Sheet2'!D135)-VALUE('Sheet2'!D134)),ABS(VALUE('Sheet2'!E135)-VALUE('Sheet2'!E134)),ABS(VALUE('Sheet2'!F135)-VALUE('Sheet2'!F134)),ABS(VALUE('Sheet2'!G135)-VALUE('Sheet2'!G134)),ABS(VALUE('Sheet2'!H135)-VALUE('Sheet2'!H134)),ABS(VALUE('Sheet2'!I135)-VALUE('Sheet2'!I134)),ABS(VALUE('Sheet2'!J135)-VALUE('Sheet2'!J134)),ABS(VALUE('Sheet2'!K135)-VALUE('Sheet2'!K134)),ABS(VALUE('Sheet2'!L135)-VALUE('Sheet2'!L134)),ABS(VALUE('Sheet2'!M135)-VALUE('Sheet2'!M134)),ABS(VALUE('Sheet2'!N135)-VALUE('Sheet2'!N134)),ABS(VALUE('Sheet2'!O135)-VALUE('Sheet2'!O134)),ABS(VALUE('Sheet2'!P135)-VALUE('Sheet2'!P134)))/2</x:f>
        <x:v>0.0008999999999999963</x:v>
      </x:c>
      <x:c r="M135" t="n">
        <x:f>SUMSQ('Sheet2'!D135:P135)</x:f>
        <x:v>0.23171887</x:v>
      </x:c>
      <x:c r="N135" t="n">
        <x:f>VALUE('Sheet2'!D135)</x:f>
        <x:v>0.0157</x:v>
      </x:c>
    </x:row>
    <x:row r="136">
      <x:c r="A136" t="str">
        <x:f>'Sheet2'!A136</x:f>
        <x:v>2025-09-30</x:v>
      </x:c>
      <x:c r="B136" t="n">
        <x:f>VALUE('Sheet2'!B136)</x:f>
        <x:v>1.0418</x:v>
      </x:c>
      <x:c r="C136" t="n">
        <x:f>VALUE('Sheet2'!C136)</x:f>
        <x:v>1.1785</x:v>
      </x:c>
      <x:c r="D136" t="n">
        <x:f>IFERROR(B136/B135-1,"")</x:f>
        <x:v>0.013522716217530872</x:v>
      </x:c>
      <x:c r="E136" t="n">
        <x:f>IFERROR(C136/C135-1,"")</x:f>
        <x:v>0.019904803115534442</x:v>
      </x:c>
      <x:c r="F136" t="n">
        <x:f>IFERROR(D136-E136,"")</x:f>
        <x:v>-0.006382086898003569</x:v>
      </x:c>
      <x:c r="G136" t="n">
        <x:f>MAX($B$2:B136)</x:f>
        <x:v>1.0418</x:v>
      </x:c>
      <x:c r="H136" t="n">
        <x:f>IFERROR(B136/G136-1,"")</x:f>
        <x:v>0</x:v>
      </x:c>
      <x:c r="I136" t="n">
        <x:f>MAX($C$2:C136)</x:f>
        <x:v>1.1785</x:v>
      </x:c>
      <x:c r="J136" t="n">
        <x:f>IFERROR(C136/I136-1,"")</x:f>
        <x:v>0</x:v>
      </x:c>
      <x:c r="K136" t="n">
        <x:f>MAX(ABS(VALUE('Sheet2'!D136)-VALUE('Sheet2'!D135)),ABS(VALUE('Sheet2'!E136)-VALUE('Sheet2'!E135)),ABS(VALUE('Sheet2'!F136)-VALUE('Sheet2'!F135)),ABS(VALUE('Sheet2'!G136)-VALUE('Sheet2'!G135)),ABS(VALUE('Sheet2'!H136)-VALUE('Sheet2'!H135)),ABS(VALUE('Sheet2'!I136)-VALUE('Sheet2'!I135)),ABS(VALUE('Sheet2'!J136)-VALUE('Sheet2'!J135)),ABS(VALUE('Sheet2'!K136)-VALUE('Sheet2'!K135)),ABS(VALUE('Sheet2'!L136)-VALUE('Sheet2'!L135)),ABS(VALUE('Sheet2'!M136)-VALUE('Sheet2'!M135)),ABS(VALUE('Sheet2'!N136)-VALUE('Sheet2'!N135)),ABS(VALUE('Sheet2'!O136)-VALUE('Sheet2'!O135)),ABS(VALUE('Sheet2'!P136)-VALUE('Sheet2'!P135)))</x:f>
        <x:v>0.002799999999999969</x:v>
      </x:c>
      <x:c r="L136" t="n">
        <x:f>SUM(ABS(VALUE('Sheet2'!D136)-VALUE('Sheet2'!D135)),ABS(VALUE('Sheet2'!E136)-VALUE('Sheet2'!E135)),ABS(VALUE('Sheet2'!F136)-VALUE('Sheet2'!F135)),ABS(VALUE('Sheet2'!G136)-VALUE('Sheet2'!G135)),ABS(VALUE('Sheet2'!H136)-VALUE('Sheet2'!H135)),ABS(VALUE('Sheet2'!I136)-VALUE('Sheet2'!I135)),ABS(VALUE('Sheet2'!J136)-VALUE('Sheet2'!J135)),ABS(VALUE('Sheet2'!K136)-VALUE('Sheet2'!K135)),ABS(VALUE('Sheet2'!L136)-VALUE('Sheet2'!L135)),ABS(VALUE('Sheet2'!M136)-VALUE('Sheet2'!M135)),ABS(VALUE('Sheet2'!N136)-VALUE('Sheet2'!N135)),ABS(VALUE('Sheet2'!O136)-VALUE('Sheet2'!O135)),ABS(VALUE('Sheet2'!P136)-VALUE('Sheet2'!P135)))/2</x:f>
        <x:v>0.0053</x:v>
      </x:c>
      <x:c r="M136" t="n">
        <x:f>SUMSQ('Sheet2'!D136:P136)</x:f>
        <x:v>0.23344160999999994</x:v>
      </x:c>
      <x:c r="N136" t="n">
        <x:f>VALUE('Sheet2'!D136)</x:f>
        <x:v>0.0153</x:v>
      </x:c>
    </x:row>
    <x:row r="137">
      <x:c r="A137" t="str">
        <x:f>'Sheet2'!A137</x:f>
        <x:v>2025-10-10</x:v>
      </x:c>
      <x:c r="B137" t="n">
        <x:f>VALUE('Sheet2'!B137)</x:f>
        <x:v>1.0407</x:v>
      </x:c>
      <x:c r="C137" t="n">
        <x:f>VALUE('Sheet2'!C137)</x:f>
        <x:v>1.1725</x:v>
      </x:c>
      <x:c r="D137" t="n">
        <x:f>IFERROR(B137/B136-1,"")</x:f>
        <x:v>-0.001055864849299426</x:v>
      </x:c>
      <x:c r="E137" t="n">
        <x:f>IFERROR(C137/C136-1,"")</x:f>
        <x:v>-0.005091217649554558</x:v>
      </x:c>
      <x:c r="F137" t="n">
        <x:f>IFERROR(D137-E137,"")</x:f>
        <x:v>0.004035352800255132</x:v>
      </x:c>
      <x:c r="G137" t="n">
        <x:f>MAX($B$2:B137)</x:f>
        <x:v>1.0418</x:v>
      </x:c>
      <x:c r="H137" t="n">
        <x:f>IFERROR(B137/G137-1,"")</x:f>
        <x:v>-0.001055864849299426</x:v>
      </x:c>
      <x:c r="I137" t="n">
        <x:f>MAX($C$2:C137)</x:f>
        <x:v>1.1785</x:v>
      </x:c>
      <x:c r="J137" t="n">
        <x:f>IFERROR(C137/I137-1,"")</x:f>
        <x:v>-0.005091217649554558</x:v>
      </x:c>
      <x:c r="K137" t="n">
        <x:f>MAX(ABS(VALUE('Sheet2'!D137)-VALUE('Sheet2'!D136)),ABS(VALUE('Sheet2'!E137)-VALUE('Sheet2'!E136)),ABS(VALUE('Sheet2'!F137)-VALUE('Sheet2'!F136)),ABS(VALUE('Sheet2'!G137)-VALUE('Sheet2'!G136)),ABS(VALUE('Sheet2'!H137)-VALUE('Sheet2'!H136)),ABS(VALUE('Sheet2'!I137)-VALUE('Sheet2'!I136)),ABS(VALUE('Sheet2'!J137)-VALUE('Sheet2'!J136)),ABS(VALUE('Sheet2'!K137)-VALUE('Sheet2'!K136)),ABS(VALUE('Sheet2'!L137)-VALUE('Sheet2'!L136)),ABS(VALUE('Sheet2'!M137)-VALUE('Sheet2'!M136)),ABS(VALUE('Sheet2'!N137)-VALUE('Sheet2'!N136)),ABS(VALUE('Sheet2'!O137)-VALUE('Sheet2'!O136)),ABS(VALUE('Sheet2'!P137)-VALUE('Sheet2'!P136)))</x:f>
        <x:v>0.1256</x:v>
      </x:c>
      <x:c r="L137" t="n">
        <x:f>SUM(ABS(VALUE('Sheet2'!D137)-VALUE('Sheet2'!D136)),ABS(VALUE('Sheet2'!E137)-VALUE('Sheet2'!E136)),ABS(VALUE('Sheet2'!F137)-VALUE('Sheet2'!F136)),ABS(VALUE('Sheet2'!G137)-VALUE('Sheet2'!G136)),ABS(VALUE('Sheet2'!H137)-VALUE('Sheet2'!H136)),ABS(VALUE('Sheet2'!I137)-VALUE('Sheet2'!I136)),ABS(VALUE('Sheet2'!J137)-VALUE('Sheet2'!J136)),ABS(VALUE('Sheet2'!K137)-VALUE('Sheet2'!K136)),ABS(VALUE('Sheet2'!L137)-VALUE('Sheet2'!L136)),ABS(VALUE('Sheet2'!M137)-VALUE('Sheet2'!M136)),ABS(VALUE('Sheet2'!N137)-VALUE('Sheet2'!N136)),ABS(VALUE('Sheet2'!O137)-VALUE('Sheet2'!O136)),ABS(VALUE('Sheet2'!P137)-VALUE('Sheet2'!P136)))/2</x:f>
        <x:v>0.1288</x:v>
      </x:c>
      <x:c r="M137" t="n">
        <x:f>SUMSQ('Sheet2'!D137:P137)</x:f>
        <x:v>0.23758145</x:v>
      </x:c>
      <x:c r="N137" t="n">
        <x:f>VALUE('Sheet2'!D137)</x:f>
        <x:v>0.1406</x:v>
      </x:c>
    </x:row>
    <x:row r="138">
      <x:c r="A138" t="str">
        <x:f>'Sheet2'!A138</x:f>
        <x:v>2025-10-17</x:v>
      </x:c>
      <x:c r="B138" t="n">
        <x:f>VALUE('Sheet2'!B138)</x:f>
        <x:v>1.0219</x:v>
      </x:c>
      <x:c r="C138" t="n">
        <x:f>VALUE('Sheet2'!C138)</x:f>
        <x:v>1.1464</x:v>
      </x:c>
      <x:c r="D138" t="n">
        <x:f>IFERROR(B138/B137-1,"")</x:f>
        <x:v>-0.018064764101085706</x:v>
      </x:c>
      <x:c r="E138" t="n">
        <x:f>IFERROR(C138/C137-1,"")</x:f>
        <x:v>-0.02226012793176968</x:v>
      </x:c>
      <x:c r="F138" t="n">
        <x:f>IFERROR(D138-E138,"")</x:f>
        <x:v>0.0041953638306839736</x:v>
      </x:c>
      <x:c r="G138" t="n">
        <x:f>MAX($B$2:B138)</x:f>
        <x:v>1.0418</x:v>
      </x:c>
      <x:c r="H138" t="n">
        <x:f>IFERROR(B138/G138-1,"")</x:f>
        <x:v>-0.01910155500095989</x:v>
      </x:c>
      <x:c r="I138" t="n">
        <x:f>MAX($C$2:C138)</x:f>
        <x:v>1.1785</x:v>
      </x:c>
      <x:c r="J138" t="n">
        <x:f>IFERROR(C138/I138-1,"")</x:f>
        <x:v>-0.02723801442511664</x:v>
      </x:c>
      <x:c r="K138" t="n">
        <x:f>MAX(ABS(VALUE('Sheet2'!D138)-VALUE('Sheet2'!D137)),ABS(VALUE('Sheet2'!E138)-VALUE('Sheet2'!E137)),ABS(VALUE('Sheet2'!F138)-VALUE('Sheet2'!F137)),ABS(VALUE('Sheet2'!G138)-VALUE('Sheet2'!G137)),ABS(VALUE('Sheet2'!H138)-VALUE('Sheet2'!H137)),ABS(VALUE('Sheet2'!I138)-VALUE('Sheet2'!I137)),ABS(VALUE('Sheet2'!J138)-VALUE('Sheet2'!J137)),ABS(VALUE('Sheet2'!K138)-VALUE('Sheet2'!K137)),ABS(VALUE('Sheet2'!L138)-VALUE('Sheet2'!L137)),ABS(VALUE('Sheet2'!M138)-VALUE('Sheet2'!M137)),ABS(VALUE('Sheet2'!N138)-VALUE('Sheet2'!N137)),ABS(VALUE('Sheet2'!O138)-VALUE('Sheet2'!O137)),ABS(VALUE('Sheet2'!P138)-VALUE('Sheet2'!P137)))</x:f>
        <x:v>0.1046</x:v>
      </x:c>
      <x:c r="L138" t="n">
        <x:f>SUM(ABS(VALUE('Sheet2'!D138)-VALUE('Sheet2'!D137)),ABS(VALUE('Sheet2'!E138)-VALUE('Sheet2'!E137)),ABS(VALUE('Sheet2'!F138)-VALUE('Sheet2'!F137)),ABS(VALUE('Sheet2'!G138)-VALUE('Sheet2'!G137)),ABS(VALUE('Sheet2'!H138)-VALUE('Sheet2'!H137)),ABS(VALUE('Sheet2'!I138)-VALUE('Sheet2'!I137)),ABS(VALUE('Sheet2'!J138)-VALUE('Sheet2'!J137)),ABS(VALUE('Sheet2'!K138)-VALUE('Sheet2'!K137)),ABS(VALUE('Sheet2'!L138)-VALUE('Sheet2'!L137)),ABS(VALUE('Sheet2'!M138)-VALUE('Sheet2'!M137)),ABS(VALUE('Sheet2'!N138)-VALUE('Sheet2'!N137)),ABS(VALUE('Sheet2'!O138)-VALUE('Sheet2'!O137)),ABS(VALUE('Sheet2'!P138)-VALUE('Sheet2'!P137)))/2</x:f>
        <x:v>0.10855000000000001</x:v>
      </x:c>
      <x:c r="M138" t="n">
        <x:f>SUMSQ('Sheet2'!D138:P138)</x:f>
        <x:v>0.25673376000000003</x:v>
      </x:c>
      <x:c r="N138" t="n">
        <x:f>VALUE('Sheet2'!D138)</x:f>
        <x:v>0.137</x:v>
      </x:c>
    </x:row>
    <x:row r="139">
      <x:c r="A139" t="str">
        <x:f>'Sheet2'!A139</x:f>
        <x:v>2025-10-24</x:v>
      </x:c>
      <x:c r="B139" t="n">
        <x:f>VALUE('Sheet2'!B139)</x:f>
        <x:v>1.0451</x:v>
      </x:c>
      <x:c r="C139" t="n">
        <x:f>VALUE('Sheet2'!C139)</x:f>
        <x:v>1.1836</x:v>
      </x:c>
      <x:c r="D139" t="n">
        <x:f>IFERROR(B139/B138-1,"")</x:f>
        <x:v>0.022702808493981763</x:v>
      </x:c>
      <x:c r="E139" t="n">
        <x:f>IFERROR(C139/C138-1,"")</x:f>
        <x:v>0.03244940683879971</x:v>
      </x:c>
      <x:c r="F139" t="n">
        <x:f>IFERROR(D139-E139,"")</x:f>
        <x:v>-0.009746598344817947</x:v>
      </x:c>
      <x:c r="G139" t="n">
        <x:f>MAX($B$2:B139)</x:f>
        <x:v>1.0451</x:v>
      </x:c>
      <x:c r="H139" t="n">
        <x:f>IFERROR(B139/G139-1,"")</x:f>
        <x:v>0</x:v>
      </x:c>
      <x:c r="I139" t="n">
        <x:f>MAX($C$2:C139)</x:f>
        <x:v>1.1836</x:v>
      </x:c>
      <x:c r="J139" t="n">
        <x:f>IFERROR(C139/I139-1,"")</x:f>
        <x:v>0</x:v>
      </x:c>
      <x:c r="K139" t="n">
        <x:f>MAX(ABS(VALUE('Sheet2'!D139)-VALUE('Sheet2'!D138)),ABS(VALUE('Sheet2'!E139)-VALUE('Sheet2'!E138)),ABS(VALUE('Sheet2'!F139)-VALUE('Sheet2'!F138)),ABS(VALUE('Sheet2'!G139)-VALUE('Sheet2'!G138)),ABS(VALUE('Sheet2'!H139)-VALUE('Sheet2'!H138)),ABS(VALUE('Sheet2'!I139)-VALUE('Sheet2'!I138)),ABS(VALUE('Sheet2'!J139)-VALUE('Sheet2'!J138)),ABS(VALUE('Sheet2'!K139)-VALUE('Sheet2'!K138)),ABS(VALUE('Sheet2'!L139)-VALUE('Sheet2'!L138)),ABS(VALUE('Sheet2'!M139)-VALUE('Sheet2'!M138)),ABS(VALUE('Sheet2'!N139)-VALUE('Sheet2'!N138)),ABS(VALUE('Sheet2'!O139)-VALUE('Sheet2'!O138)),ABS(VALUE('Sheet2'!P139)-VALUE('Sheet2'!P138)))</x:f>
        <x:v>0.006000000000000005</x:v>
      </x:c>
      <x:c r="L139" t="n">
        <x:f>SUM(ABS(VALUE('Sheet2'!D139)-VALUE('Sheet2'!D138)),ABS(VALUE('Sheet2'!E139)-VALUE('Sheet2'!E138)),ABS(VALUE('Sheet2'!F139)-VALUE('Sheet2'!F138)),ABS(VALUE('Sheet2'!G139)-VALUE('Sheet2'!G138)),ABS(VALUE('Sheet2'!H139)-VALUE('Sheet2'!H138)),ABS(VALUE('Sheet2'!I139)-VALUE('Sheet2'!I138)),ABS(VALUE('Sheet2'!J139)-VALUE('Sheet2'!J138)),ABS(VALUE('Sheet2'!K139)-VALUE('Sheet2'!K138)),ABS(VALUE('Sheet2'!L139)-VALUE('Sheet2'!L138)),ABS(VALUE('Sheet2'!M139)-VALUE('Sheet2'!M138)),ABS(VALUE('Sheet2'!N139)-VALUE('Sheet2'!N138)),ABS(VALUE('Sheet2'!O139)-VALUE('Sheet2'!O138)),ABS(VALUE('Sheet2'!P139)-VALUE('Sheet2'!P138)))/2</x:f>
        <x:v>0.007450000000000005</x:v>
      </x:c>
      <x:c r="M139" t="n">
        <x:f>SUMSQ('Sheet2'!D139:P139)</x:f>
        <x:v>0.26006515</x:v>
      </x:c>
      <x:c r="N139" t="n">
        <x:f>VALUE('Sheet2'!D139)</x:f>
        <x:v>0.1337</x:v>
      </x:c>
    </x:row>
    <x:row r="140">
      <x:c r="A140" t="str">
        <x:f>'Sheet2'!A140</x:f>
        <x:v>2025-10-31</x:v>
      </x:c>
      <x:c r="B140" t="n">
        <x:f>VALUE('Sheet2'!B140)</x:f>
        <x:v>1.0482</x:v>
      </x:c>
      <x:c r="C140" t="n">
        <x:f>VALUE('Sheet2'!C140)</x:f>
        <x:v>1.1785</x:v>
      </x:c>
      <x:c r="D140" t="n">
        <x:f>IFERROR(B140/B139-1,"")</x:f>
        <x:v>0.0029662233279112993</x:v>
      </x:c>
      <x:c r="E140" t="n">
        <x:f>IFERROR(C140/C139-1,"")</x:f>
        <x:v>-0.004308888137884326</x:v>
      </x:c>
      <x:c r="F140" t="n">
        <x:f>IFERROR(D140-E140,"")</x:f>
        <x:v>0.007275111465795625</x:v>
      </x:c>
      <x:c r="G140" t="n">
        <x:f>MAX($B$2:B140)</x:f>
        <x:v>1.0482</x:v>
      </x:c>
      <x:c r="H140" t="n">
        <x:f>IFERROR(B140/G140-1,"")</x:f>
        <x:v>0</x:v>
      </x:c>
      <x:c r="I140" t="n">
        <x:f>MAX($C$2:C140)</x:f>
        <x:v>1.1836</x:v>
      </x:c>
      <x:c r="J140" t="n">
        <x:f>IFERROR(C140/I140-1,"")</x:f>
        <x:v>-0.004308888137884326</x:v>
      </x:c>
      <x:c r="K140" t="n">
        <x:f>MAX(ABS(VALUE('Sheet2'!D140)-VALUE('Sheet2'!D139)),ABS(VALUE('Sheet2'!E140)-VALUE('Sheet2'!E139)),ABS(VALUE('Sheet2'!F140)-VALUE('Sheet2'!F139)),ABS(VALUE('Sheet2'!G140)-VALUE('Sheet2'!G139)),ABS(VALUE('Sheet2'!H140)-VALUE('Sheet2'!H139)),ABS(VALUE('Sheet2'!I140)-VALUE('Sheet2'!I139)),ABS(VALUE('Sheet2'!J140)-VALUE('Sheet2'!J139)),ABS(VALUE('Sheet2'!K140)-VALUE('Sheet2'!K139)),ABS(VALUE('Sheet2'!L140)-VALUE('Sheet2'!L139)),ABS(VALUE('Sheet2'!M140)-VALUE('Sheet2'!M139)),ABS(VALUE('Sheet2'!N140)-VALUE('Sheet2'!N139)),ABS(VALUE('Sheet2'!O140)-VALUE('Sheet2'!O139)),ABS(VALUE('Sheet2'!P140)-VALUE('Sheet2'!P139)))</x:f>
        <x:v>0.020800000000000013</x:v>
      </x:c>
      <x:c r="L140" t="n">
        <x:f>SUM(ABS(VALUE('Sheet2'!D140)-VALUE('Sheet2'!D139)),ABS(VALUE('Sheet2'!E140)-VALUE('Sheet2'!E139)),ABS(VALUE('Sheet2'!F140)-VALUE('Sheet2'!F139)),ABS(VALUE('Sheet2'!G140)-VALUE('Sheet2'!G139)),ABS(VALUE('Sheet2'!H140)-VALUE('Sheet2'!H139)),ABS(VALUE('Sheet2'!I140)-VALUE('Sheet2'!I139)),ABS(VALUE('Sheet2'!J140)-VALUE('Sheet2'!J139)),ABS(VALUE('Sheet2'!K140)-VALUE('Sheet2'!K139)),ABS(VALUE('Sheet2'!L140)-VALUE('Sheet2'!L139)),ABS(VALUE('Sheet2'!M140)-VALUE('Sheet2'!M139)),ABS(VALUE('Sheet2'!N140)-VALUE('Sheet2'!N139)),ABS(VALUE('Sheet2'!O140)-VALUE('Sheet2'!O139)),ABS(VALUE('Sheet2'!P140)-VALUE('Sheet2'!P139)))/2</x:f>
        <x:v>0.023350000000000017</x:v>
      </x:c>
      <x:c r="M140" t="n">
        <x:f>SUMSQ('Sheet2'!D140:P140)</x:f>
        <x:v>0.26544333999999997</x:v>
      </x:c>
      <x:c r="N140" t="n">
        <x:f>VALUE('Sheet2'!D140)</x:f>
        <x:v>0.1139</x:v>
      </x:c>
    </x:row>
    <x:row r="141">
      <x:c r="A141" t="str">
        <x:f>'Sheet2'!A141</x:f>
        <x:v>2025-11-07</x:v>
      </x:c>
      <x:c r="B141" t="n">
        <x:f>VALUE('Sheet2'!B141)</x:f>
        <x:v>1.0566</x:v>
      </x:c>
      <x:c r="C141" t="n">
        <x:f>VALUE('Sheet2'!C141)</x:f>
        <x:v>1.1882</x:v>
      </x:c>
      <x:c r="D141" t="n">
        <x:f>IFERROR(B141/B140-1,"")</x:f>
        <x:v>0.00801373783629078</x:v>
      </x:c>
      <x:c r="E141" t="n">
        <x:f>IFERROR(C141/C140-1,"")</x:f>
        <x:v>0.008230801866779602</x:v>
      </x:c>
      <x:c r="F141" t="n">
        <x:f>IFERROR(D141-E141,"")</x:f>
        <x:v>-0.00021706403048882272</x:v>
      </x:c>
      <x:c r="G141" t="n">
        <x:f>MAX($B$2:B141)</x:f>
        <x:v>1.0566</x:v>
      </x:c>
      <x:c r="H141" t="n">
        <x:f>IFERROR(B141/G141-1,"")</x:f>
        <x:v>0</x:v>
      </x:c>
      <x:c r="I141" t="n">
        <x:f>MAX($C$2:C141)</x:f>
        <x:v>1.1882</x:v>
      </x:c>
      <x:c r="J141" t="n">
        <x:f>IFERROR(C141/I141-1,"")</x:f>
        <x:v>0</x:v>
      </x:c>
      <x:c r="K141" t="n">
        <x:f>MAX(ABS(VALUE('Sheet2'!D141)-VALUE('Sheet2'!D140)),ABS(VALUE('Sheet2'!E141)-VALUE('Sheet2'!E140)),ABS(VALUE('Sheet2'!F141)-VALUE('Sheet2'!F140)),ABS(VALUE('Sheet2'!G141)-VALUE('Sheet2'!G140)),ABS(VALUE('Sheet2'!H141)-VALUE('Sheet2'!H140)),ABS(VALUE('Sheet2'!I141)-VALUE('Sheet2'!I140)),ABS(VALUE('Sheet2'!J141)-VALUE('Sheet2'!J140)),ABS(VALUE('Sheet2'!K141)-VALUE('Sheet2'!K140)),ABS(VALUE('Sheet2'!L141)-VALUE('Sheet2'!L140)),ABS(VALUE('Sheet2'!M141)-VALUE('Sheet2'!M140)),ABS(VALUE('Sheet2'!N141)-VALUE('Sheet2'!N140)),ABS(VALUE('Sheet2'!O141)-VALUE('Sheet2'!O140)),ABS(VALUE('Sheet2'!P141)-VALUE('Sheet2'!P140)))</x:f>
        <x:v>0.0958</x:v>
      </x:c>
      <x:c r="L141" t="n">
        <x:f>SUM(ABS(VALUE('Sheet2'!D141)-VALUE('Sheet2'!D140)),ABS(VALUE('Sheet2'!E141)-VALUE('Sheet2'!E140)),ABS(VALUE('Sheet2'!F141)-VALUE('Sheet2'!F140)),ABS(VALUE('Sheet2'!G141)-VALUE('Sheet2'!G140)),ABS(VALUE('Sheet2'!H141)-VALUE('Sheet2'!H140)),ABS(VALUE('Sheet2'!I141)-VALUE('Sheet2'!I140)),ABS(VALUE('Sheet2'!J141)-VALUE('Sheet2'!J140)),ABS(VALUE('Sheet2'!K141)-VALUE('Sheet2'!K140)),ABS(VALUE('Sheet2'!L141)-VALUE('Sheet2'!L140)),ABS(VALUE('Sheet2'!M141)-VALUE('Sheet2'!M140)),ABS(VALUE('Sheet2'!N141)-VALUE('Sheet2'!N140)),ABS(VALUE('Sheet2'!O141)-VALUE('Sheet2'!O140)),ABS(VALUE('Sheet2'!P141)-VALUE('Sheet2'!P140)))/2</x:f>
        <x:v>0.09639999999999999</x:v>
      </x:c>
      <x:c r="M141" t="n">
        <x:f>SUMSQ('Sheet2'!D141:P141)</x:f>
        <x:v>0.26267788</x:v>
      </x:c>
      <x:c r="N141" t="n">
        <x:f>VALUE('Sheet2'!D141)</x:f>
        <x:v>0.0181</x:v>
      </x:c>
    </x:row>
    <x:row r="142">
      <x:c r="A142" t="str">
        <x:f>'Sheet2'!A142</x:f>
        <x:v>2025-11-14</x:v>
      </x:c>
      <x:c r="B142" t="n">
        <x:f>VALUE('Sheet2'!B142)</x:f>
        <x:v>1.0594</x:v>
      </x:c>
      <x:c r="C142" t="n">
        <x:f>VALUE('Sheet2'!C142)</x:f>
        <x:v>1.1753</x:v>
      </x:c>
      <x:c r="D142" t="n">
        <x:f>IFERROR(B142/B141-1,"")</x:f>
        <x:v>0.0026500094643193695</x:v>
      </x:c>
      <x:c r="E142" t="n">
        <x:f>IFERROR(C142/C141-1,"")</x:f>
        <x:v>-0.01085675812152831</x:v>
      </x:c>
      <x:c r="F142" t="n">
        <x:f>IFERROR(D142-E142,"")</x:f>
        <x:v>0.013506767585847679</x:v>
      </x:c>
      <x:c r="G142" t="n">
        <x:f>MAX($B$2:B142)</x:f>
        <x:v>1.0594</x:v>
      </x:c>
      <x:c r="H142" t="n">
        <x:f>IFERROR(B142/G142-1,"")</x:f>
        <x:v>0</x:v>
      </x:c>
      <x:c r="I142" t="n">
        <x:f>MAX($C$2:C142)</x:f>
        <x:v>1.1882</x:v>
      </x:c>
      <x:c r="J142" t="n">
        <x:f>IFERROR(C142/I142-1,"")</x:f>
        <x:v>-0.01085675812152831</x:v>
      </x:c>
      <x:c r="K142" t="n">
        <x:f>MAX(ABS(VALUE('Sheet2'!D142)-VALUE('Sheet2'!D141)),ABS(VALUE('Sheet2'!E142)-VALUE('Sheet2'!E141)),ABS(VALUE('Sheet2'!F142)-VALUE('Sheet2'!F141)),ABS(VALUE('Sheet2'!G142)-VALUE('Sheet2'!G141)),ABS(VALUE('Sheet2'!H142)-VALUE('Sheet2'!H141)),ABS(VALUE('Sheet2'!I142)-VALUE('Sheet2'!I141)),ABS(VALUE('Sheet2'!J142)-VALUE('Sheet2'!J141)),ABS(VALUE('Sheet2'!K142)-VALUE('Sheet2'!K141)),ABS(VALUE('Sheet2'!L142)-VALUE('Sheet2'!L141)),ABS(VALUE('Sheet2'!M142)-VALUE('Sheet2'!M141)),ABS(VALUE('Sheet2'!N142)-VALUE('Sheet2'!N141)),ABS(VALUE('Sheet2'!O142)-VALUE('Sheet2'!O141)),ABS(VALUE('Sheet2'!P142)-VALUE('Sheet2'!P141)))</x:f>
        <x:v>0.0025000000000000022</x:v>
      </x:c>
      <x:c r="L142" t="n">
        <x:f>SUM(ABS(VALUE('Sheet2'!D142)-VALUE('Sheet2'!D141)),ABS(VALUE('Sheet2'!E142)-VALUE('Sheet2'!E141)),ABS(VALUE('Sheet2'!F142)-VALUE('Sheet2'!F141)),ABS(VALUE('Sheet2'!G142)-VALUE('Sheet2'!G141)),ABS(VALUE('Sheet2'!H142)-VALUE('Sheet2'!H141)),ABS(VALUE('Sheet2'!I142)-VALUE('Sheet2'!I141)),ABS(VALUE('Sheet2'!J142)-VALUE('Sheet2'!J141)),ABS(VALUE('Sheet2'!K142)-VALUE('Sheet2'!K141)),ABS(VALUE('Sheet2'!L142)-VALUE('Sheet2'!L141)),ABS(VALUE('Sheet2'!M142)-VALUE('Sheet2'!M141)),ABS(VALUE('Sheet2'!N142)-VALUE('Sheet2'!N141)),ABS(VALUE('Sheet2'!O142)-VALUE('Sheet2'!O141)),ABS(VALUE('Sheet2'!P142)-VALUE('Sheet2'!P141)))/2</x:f>
        <x:v>0.0028000000000000004</x:v>
      </x:c>
      <x:c r="M142" t="n">
        <x:f>SUMSQ('Sheet2'!D142:P142)</x:f>
        <x:v>0.26140968</x:v>
      </x:c>
      <x:c r="N142" t="n">
        <x:f>VALUE('Sheet2'!D142)</x:f>
        <x:v>0.0178</x:v>
      </x:c>
    </x:row>
    <x:row r="143">
      <x:c r="A143" t="str">
        <x:f>'Sheet2'!A143</x:f>
        <x:v>2025-11-21</x:v>
      </x:c>
      <x:c r="B143" t="n">
        <x:f>VALUE('Sheet2'!B143)</x:f>
        <x:v>1.0195</x:v>
      </x:c>
      <x:c r="C143" t="n">
        <x:f>VALUE('Sheet2'!C143)</x:f>
        <x:v>1.131</x:v>
      </x:c>
      <x:c r="D143" t="n">
        <x:f>IFERROR(B143/B142-1,"")</x:f>
        <x:v>-0.03766282801585785</x:v>
      </x:c>
      <x:c r="E143" t="n">
        <x:f>IFERROR(C143/C142-1,"")</x:f>
        <x:v>-0.03769250404152136</x:v>
      </x:c>
      <x:c r="F143" t="n">
        <x:f>IFERROR(D143-E143,"")</x:f>
        <x:v>0.000029676025663505357</x:v>
      </x:c>
      <x:c r="G143" t="n">
        <x:f>MAX($B$2:B143)</x:f>
        <x:v>1.0594</x:v>
      </x:c>
      <x:c r="H143" t="n">
        <x:f>IFERROR(B143/G143-1,"")</x:f>
        <x:v>-0.03766282801585785</x:v>
      </x:c>
      <x:c r="I143" t="n">
        <x:f>MAX($C$2:C143)</x:f>
        <x:v>1.1882</x:v>
      </x:c>
      <x:c r="J143" t="n">
        <x:f>IFERROR(C143/I143-1,"")</x:f>
        <x:v>-0.04814004376367609</x:v>
      </x:c>
      <x:c r="K143" t="n">
        <x:f>MAX(ABS(VALUE('Sheet2'!D143)-VALUE('Sheet2'!D142)),ABS(VALUE('Sheet2'!E143)-VALUE('Sheet2'!E142)),ABS(VALUE('Sheet2'!F143)-VALUE('Sheet2'!F142)),ABS(VALUE('Sheet2'!G143)-VALUE('Sheet2'!G142)),ABS(VALUE('Sheet2'!H143)-VALUE('Sheet2'!H142)),ABS(VALUE('Sheet2'!I143)-VALUE('Sheet2'!I142)),ABS(VALUE('Sheet2'!J143)-VALUE('Sheet2'!J142)),ABS(VALUE('Sheet2'!K143)-VALUE('Sheet2'!K142)),ABS(VALUE('Sheet2'!L143)-VALUE('Sheet2'!L142)),ABS(VALUE('Sheet2'!M143)-VALUE('Sheet2'!M142)),ABS(VALUE('Sheet2'!N143)-VALUE('Sheet2'!N142)),ABS(VALUE('Sheet2'!O143)-VALUE('Sheet2'!O142)),ABS(VALUE('Sheet2'!P143)-VALUE('Sheet2'!P142)))</x:f>
        <x:v>0.00489999999999996</x:v>
      </x:c>
      <x:c r="L143" t="n">
        <x:f>SUM(ABS(VALUE('Sheet2'!D143)-VALUE('Sheet2'!D142)),ABS(VALUE('Sheet2'!E143)-VALUE('Sheet2'!E142)),ABS(VALUE('Sheet2'!F143)-VALUE('Sheet2'!F142)),ABS(VALUE('Sheet2'!G143)-VALUE('Sheet2'!G142)),ABS(VALUE('Sheet2'!H143)-VALUE('Sheet2'!H142)),ABS(VALUE('Sheet2'!I143)-VALUE('Sheet2'!I142)),ABS(VALUE('Sheet2'!J143)-VALUE('Sheet2'!J142)),ABS(VALUE('Sheet2'!K143)-VALUE('Sheet2'!K142)),ABS(VALUE('Sheet2'!L143)-VALUE('Sheet2'!L142)),ABS(VALUE('Sheet2'!M143)-VALUE('Sheet2'!M142)),ABS(VALUE('Sheet2'!N143)-VALUE('Sheet2'!N142)),ABS(VALUE('Sheet2'!O143)-VALUE('Sheet2'!O142)),ABS(VALUE('Sheet2'!P143)-VALUE('Sheet2'!P142)))/2</x:f>
        <x:v>0.008049999999999984</x:v>
      </x:c>
      <x:c r="M143" t="n">
        <x:f>SUMSQ('Sheet2'!D143:P143)</x:f>
        <x:v>0.25796437</x:v>
      </x:c>
      <x:c r="N143" t="n">
        <x:f>VALUE('Sheet2'!D143)</x:f>
        <x:v>0.0181</x:v>
      </x:c>
    </x:row>
    <x:row r="144">
      <x:c r="A144" t="str">
        <x:f>'Sheet2'!A144</x:f>
        <x:v>2025-11-28</x:v>
      </x:c>
      <x:c r="B144" t="n">
        <x:f>VALUE('Sheet2'!B144)</x:f>
        <x:v>1.0399</x:v>
      </x:c>
      <x:c r="C144" t="n">
        <x:f>VALUE('Sheet2'!C144)</x:f>
        <x:v>1.1496</x:v>
      </x:c>
      <x:c r="D144" t="n">
        <x:f>IFERROR(B144/B143-1,"")</x:f>
        <x:v>0.02000980872976954</x:v>
      </x:c>
      <x:c r="E144" t="n">
        <x:f>IFERROR(C144/C143-1,"")</x:f>
        <x:v>0.01644562334217503</x:v>
      </x:c>
      <x:c r="F144" t="n">
        <x:f>IFERROR(D144-E144,"")</x:f>
        <x:v>0.0035641853875945095</x:v>
      </x:c>
      <x:c r="G144" t="n">
        <x:f>MAX($B$2:B144)</x:f>
        <x:v>1.0594</x:v>
      </x:c>
      <x:c r="H144" t="n">
        <x:f>IFERROR(B144/G144-1,"")</x:f>
        <x:v>-0.018406645270907962</x:v>
      </x:c>
      <x:c r="I144" t="n">
        <x:f>MAX($C$2:C144)</x:f>
        <x:v>1.1882</x:v>
      </x:c>
      <x:c r="J144" t="n">
        <x:f>IFERROR(C144/I144-1,"")</x:f>
        <x:v>-0.03248611344891428</x:v>
      </x:c>
      <x:c r="K144" t="n">
        <x:f>MAX(ABS(VALUE('Sheet2'!D144)-VALUE('Sheet2'!D143)),ABS(VALUE('Sheet2'!E144)-VALUE('Sheet2'!E143)),ABS(VALUE('Sheet2'!F144)-VALUE('Sheet2'!F143)),ABS(VALUE('Sheet2'!G144)-VALUE('Sheet2'!G143)),ABS(VALUE('Sheet2'!H144)-VALUE('Sheet2'!H143)),ABS(VALUE('Sheet2'!I144)-VALUE('Sheet2'!I143)),ABS(VALUE('Sheet2'!J144)-VALUE('Sheet2'!J143)),ABS(VALUE('Sheet2'!K144)-VALUE('Sheet2'!K143)),ABS(VALUE('Sheet2'!L144)-VALUE('Sheet2'!L143)),ABS(VALUE('Sheet2'!M144)-VALUE('Sheet2'!M143)),ABS(VALUE('Sheet2'!N144)-VALUE('Sheet2'!N143)),ABS(VALUE('Sheet2'!O144)-VALUE('Sheet2'!O143)),ABS(VALUE('Sheet2'!P144)-VALUE('Sheet2'!P143)))</x:f>
        <x:v>0.003699999999999981</x:v>
      </x:c>
      <x:c r="L144" t="n">
        <x:f>SUM(ABS(VALUE('Sheet2'!D144)-VALUE('Sheet2'!D143)),ABS(VALUE('Sheet2'!E144)-VALUE('Sheet2'!E143)),ABS(VALUE('Sheet2'!F144)-VALUE('Sheet2'!F143)),ABS(VALUE('Sheet2'!G144)-VALUE('Sheet2'!G143)),ABS(VALUE('Sheet2'!H144)-VALUE('Sheet2'!H143)),ABS(VALUE('Sheet2'!I144)-VALUE('Sheet2'!I143)),ABS(VALUE('Sheet2'!J144)-VALUE('Sheet2'!J143)),ABS(VALUE('Sheet2'!K144)-VALUE('Sheet2'!K143)),ABS(VALUE('Sheet2'!L144)-VALUE('Sheet2'!L143)),ABS(VALUE('Sheet2'!M144)-VALUE('Sheet2'!M143)),ABS(VALUE('Sheet2'!N144)-VALUE('Sheet2'!N143)),ABS(VALUE('Sheet2'!O144)-VALUE('Sheet2'!O143)),ABS(VALUE('Sheet2'!P144)-VALUE('Sheet2'!P143)))/2</x:f>
        <x:v>0.003999999999999988</x:v>
      </x:c>
      <x:c r="M144" t="n">
        <x:f>SUMSQ('Sheet2'!D144:P144)</x:f>
        <x:v>0.26012375</x:v>
      </x:c>
      <x:c r="N144" t="n">
        <x:f>VALUE('Sheet2'!D144)</x:f>
        <x:v>0.0175</x:v>
      </x:c>
    </x:row>
    <x:row r="145">
      <x:c r="A145" t="str">
        <x:f>'Sheet2'!A145</x:f>
        <x:v>2025-12-05</x:v>
      </x:c>
      <x:c r="B145" t="n">
        <x:f>VALUE('Sheet2'!B145)</x:f>
        <x:v>1.046</x:v>
      </x:c>
      <x:c r="C145" t="n">
        <x:f>VALUE('Sheet2'!C145)</x:f>
        <x:v>1.1642</x:v>
      </x:c>
      <x:c r="D145" t="n">
        <x:f>IFERROR(B145/B144-1,"")</x:f>
        <x:v>0.005865948648908548</x:v>
      </x:c>
      <x:c r="E145" t="n">
        <x:f>IFERROR(C145/C144-1,"")</x:f>
        <x:v>0.01270006958942238</x:v>
      </x:c>
      <x:c r="F145" t="n">
        <x:f>IFERROR(D145-E145,"")</x:f>
        <x:v>-0.0068341209405138326</x:v>
      </x:c>
      <x:c r="G145" t="n">
        <x:f>MAX($B$2:B145)</x:f>
        <x:v>1.0594</x:v>
      </x:c>
      <x:c r="H145" t="n">
        <x:f>IFERROR(B145/G145-1,"")</x:f>
        <x:v>-0.012648669057957251</x:v>
      </x:c>
      <x:c r="I145" t="n">
        <x:f>MAX($C$2:C145)</x:f>
        <x:v>1.1882</x:v>
      </x:c>
      <x:c r="J145" t="n">
        <x:f>IFERROR(C145/I145-1,"")</x:f>
        <x:v>-0.020198619760983028</x:v>
      </x:c>
      <x:c r="K145" t="n">
        <x:f>MAX(ABS(VALUE('Sheet2'!D145)-VALUE('Sheet2'!D144)),ABS(VALUE('Sheet2'!E145)-VALUE('Sheet2'!E144)),ABS(VALUE('Sheet2'!F145)-VALUE('Sheet2'!F144)),ABS(VALUE('Sheet2'!G145)-VALUE('Sheet2'!G144)),ABS(VALUE('Sheet2'!H145)-VALUE('Sheet2'!H144)),ABS(VALUE('Sheet2'!I145)-VALUE('Sheet2'!I144)),ABS(VALUE('Sheet2'!J145)-VALUE('Sheet2'!J144)),ABS(VALUE('Sheet2'!K145)-VALUE('Sheet2'!K144)),ABS(VALUE('Sheet2'!L145)-VALUE('Sheet2'!L144)),ABS(VALUE('Sheet2'!M145)-VALUE('Sheet2'!M144)),ABS(VALUE('Sheet2'!N145)-VALUE('Sheet2'!N144)),ABS(VALUE('Sheet2'!O145)-VALUE('Sheet2'!O144)),ABS(VALUE('Sheet2'!P145)-VALUE('Sheet2'!P144)))</x:f>
        <x:v>0.0031000000000000194</x:v>
      </x:c>
      <x:c r="L145" t="n">
        <x:f>SUM(ABS(VALUE('Sheet2'!D145)-VALUE('Sheet2'!D144)),ABS(VALUE('Sheet2'!E145)-VALUE('Sheet2'!E144)),ABS(VALUE('Sheet2'!F145)-VALUE('Sheet2'!F144)),ABS(VALUE('Sheet2'!G145)-VALUE('Sheet2'!G144)),ABS(VALUE('Sheet2'!H145)-VALUE('Sheet2'!H144)),ABS(VALUE('Sheet2'!I145)-VALUE('Sheet2'!I144)),ABS(VALUE('Sheet2'!J145)-VALUE('Sheet2'!J144)),ABS(VALUE('Sheet2'!K145)-VALUE('Sheet2'!K144)),ABS(VALUE('Sheet2'!L145)-VALUE('Sheet2'!L144)),ABS(VALUE('Sheet2'!M145)-VALUE('Sheet2'!M144)),ABS(VALUE('Sheet2'!N145)-VALUE('Sheet2'!N144)),ABS(VALUE('Sheet2'!O145)-VALUE('Sheet2'!O144)),ABS(VALUE('Sheet2'!P145)-VALUE('Sheet2'!P144)))/2</x:f>
        <x:v>0.003050000000000006</x:v>
      </x:c>
      <x:c r="M145" t="n">
        <x:f>SUMSQ('Sheet2'!D145:P145)</x:f>
        <x:v>0.26016439999999996</x:v>
      </x:c>
      <x:c r="N145" t="n">
        <x:f>VALUE('Sheet2'!D145)</x:f>
        <x:v>0.0171</x:v>
      </x:c>
    </x:row>
    <x:row r="146">
      <x:c r="A146" t="str">
        <x:f>'Sheet2'!A146</x:f>
        <x:v>2025-12-12</x:v>
      </x:c>
      <x:c r="B146" t="n">
        <x:f>VALUE('Sheet2'!B146)</x:f>
        <x:v>1.0457</x:v>
      </x:c>
      <x:c r="C146" t="n">
        <x:f>VALUE('Sheet2'!C146)</x:f>
        <x:v>1.1633</x:v>
      </x:c>
      <x:c r="D146" t="n">
        <x:f>IFERROR(B146/B145-1,"")</x:f>
        <x:v>-0.0002868068833651316</x:v>
      </x:c>
      <x:c r="E146" t="n">
        <x:f>IFERROR(C146/C145-1,"")</x:f>
        <x:v>-0.0007730630475862865</x:v>
      </x:c>
      <x:c r="F146" t="n">
        <x:f>IFERROR(D146-E146,"")</x:f>
        <x:v>0.0004862561642211549</x:v>
      </x:c>
      <x:c r="G146" t="n">
        <x:f>MAX($B$2:B146)</x:f>
        <x:v>1.0594</x:v>
      </x:c>
      <x:c r="H146" t="n">
        <x:f>IFERROR(B146/G146-1,"")</x:f>
        <x:v>-0.012931848215971153</x:v>
      </x:c>
      <x:c r="I146" t="n">
        <x:f>MAX($C$2:C146)</x:f>
        <x:v>1.1882</x:v>
      </x:c>
      <x:c r="J146" t="n">
        <x:f>IFERROR(C146/I146-1,"")</x:f>
        <x:v>-0.020956068002019768</x:v>
      </x:c>
      <x:c r="K146" t="n">
        <x:f>MAX(ABS(VALUE('Sheet2'!D146)-VALUE('Sheet2'!D145)),ABS(VALUE('Sheet2'!E146)-VALUE('Sheet2'!E145)),ABS(VALUE('Sheet2'!F146)-VALUE('Sheet2'!F145)),ABS(VALUE('Sheet2'!G146)-VALUE('Sheet2'!G145)),ABS(VALUE('Sheet2'!H146)-VALUE('Sheet2'!H145)),ABS(VALUE('Sheet2'!I146)-VALUE('Sheet2'!I145)),ABS(VALUE('Sheet2'!J146)-VALUE('Sheet2'!J145)),ABS(VALUE('Sheet2'!K146)-VALUE('Sheet2'!K145)),ABS(VALUE('Sheet2'!L146)-VALUE('Sheet2'!L145)),ABS(VALUE('Sheet2'!M146)-VALUE('Sheet2'!M145)),ABS(VALUE('Sheet2'!N146)-VALUE('Sheet2'!N145)),ABS(VALUE('Sheet2'!O146)-VALUE('Sheet2'!O145)),ABS(VALUE('Sheet2'!P146)-VALUE('Sheet2'!P145)))</x:f>
        <x:v>0.0019000000000000128</x:v>
      </x:c>
      <x:c r="L146" t="n">
        <x:f>SUM(ABS(VALUE('Sheet2'!D146)-VALUE('Sheet2'!D145)),ABS(VALUE('Sheet2'!E146)-VALUE('Sheet2'!E145)),ABS(VALUE('Sheet2'!F146)-VALUE('Sheet2'!F145)),ABS(VALUE('Sheet2'!G146)-VALUE('Sheet2'!G145)),ABS(VALUE('Sheet2'!H146)-VALUE('Sheet2'!H145)),ABS(VALUE('Sheet2'!I146)-VALUE('Sheet2'!I145)),ABS(VALUE('Sheet2'!J146)-VALUE('Sheet2'!J145)),ABS(VALUE('Sheet2'!K146)-VALUE('Sheet2'!K145)),ABS(VALUE('Sheet2'!L146)-VALUE('Sheet2'!L145)),ABS(VALUE('Sheet2'!M146)-VALUE('Sheet2'!M145)),ABS(VALUE('Sheet2'!N146)-VALUE('Sheet2'!N145)),ABS(VALUE('Sheet2'!O146)-VALUE('Sheet2'!O145)),ABS(VALUE('Sheet2'!P146)-VALUE('Sheet2'!P145)))/2</x:f>
        <x:v>0.0026000000000000224</x:v>
      </x:c>
      <x:c r="M146" t="n">
        <x:f>SUMSQ('Sheet2'!D146:P146)</x:f>
        <x:v>0.26111710000000005</x:v>
      </x:c>
      <x:c r="N146" t="n">
        <x:f>VALUE('Sheet2'!D146)</x:f>
        <x:v>0.0168</x:v>
      </x:c>
    </x:row>
    <x:row r="147">
      <x:c r="A147" t="str">
        <x:f>'Sheet2'!A147</x:f>
        <x:v>2025-12-19</x:v>
      </x:c>
      <x:c r="B147" t="n">
        <x:f>VALUE('Sheet2'!B147)</x:f>
        <x:v>1.0414</x:v>
      </x:c>
      <x:c r="C147" t="n">
        <x:f>VALUE('Sheet2'!C147)</x:f>
        <x:v>1.1601</x:v>
      </x:c>
      <x:c r="D147" t="n">
        <x:f>IFERROR(B147/B146-1,"")</x:f>
        <x:v>-0.0041120780338529395</x:v>
      </x:c>
      <x:c r="E147" t="n">
        <x:f>IFERROR(C147/C146-1,"")</x:f>
        <x:v>-0.0027507951517236062</x:v>
      </x:c>
      <x:c r="F147" t="n">
        <x:f>IFERROR(D147-E147,"")</x:f>
        <x:v>-0.0013612828821293332</x:v>
      </x:c>
      <x:c r="G147" t="n">
        <x:f>MAX($B$2:B147)</x:f>
        <x:v>1.0594</x:v>
      </x:c>
      <x:c r="H147" t="n">
        <x:f>IFERROR(B147/G147-1,"")</x:f>
        <x:v>-0.016990749480838008</x:v>
      </x:c>
      <x:c r="I147" t="n">
        <x:f>MAX($C$2:C147)</x:f>
        <x:v>1.1882</x:v>
      </x:c>
      <x:c r="J147" t="n">
        <x:f>IFERROR(C147/I147-1,"")</x:f>
        <x:v>-0.023649217303484238</x:v>
      </x:c>
      <x:c r="K147" t="n">
        <x:f>MAX(ABS(VALUE('Sheet2'!D147)-VALUE('Sheet2'!D146)),ABS(VALUE('Sheet2'!E147)-VALUE('Sheet2'!E146)),ABS(VALUE('Sheet2'!F147)-VALUE('Sheet2'!F146)),ABS(VALUE('Sheet2'!G147)-VALUE('Sheet2'!G146)),ABS(VALUE('Sheet2'!H147)-VALUE('Sheet2'!H146)),ABS(VALUE('Sheet2'!I147)-VALUE('Sheet2'!I146)),ABS(VALUE('Sheet2'!J147)-VALUE('Sheet2'!J146)),ABS(VALUE('Sheet2'!K147)-VALUE('Sheet2'!K146)),ABS(VALUE('Sheet2'!L147)-VALUE('Sheet2'!L146)),ABS(VALUE('Sheet2'!M147)-VALUE('Sheet2'!M146)),ABS(VALUE('Sheet2'!N147)-VALUE('Sheet2'!N146)),ABS(VALUE('Sheet2'!O147)-VALUE('Sheet2'!O146)),ABS(VALUE('Sheet2'!P147)-VALUE('Sheet2'!P146)))</x:f>
        <x:v>0.0020000000000000018</x:v>
      </x:c>
      <x:c r="L147" t="n">
        <x:f>SUM(ABS(VALUE('Sheet2'!D147)-VALUE('Sheet2'!D146)),ABS(VALUE('Sheet2'!E147)-VALUE('Sheet2'!E146)),ABS(VALUE('Sheet2'!F147)-VALUE('Sheet2'!F146)),ABS(VALUE('Sheet2'!G147)-VALUE('Sheet2'!G146)),ABS(VALUE('Sheet2'!H147)-VALUE('Sheet2'!H146)),ABS(VALUE('Sheet2'!I147)-VALUE('Sheet2'!I146)),ABS(VALUE('Sheet2'!J147)-VALUE('Sheet2'!J146)),ABS(VALUE('Sheet2'!K147)-VALUE('Sheet2'!K146)),ABS(VALUE('Sheet2'!L147)-VALUE('Sheet2'!L146)),ABS(VALUE('Sheet2'!M147)-VALUE('Sheet2'!M146)),ABS(VALUE('Sheet2'!N147)-VALUE('Sheet2'!N146)),ABS(VALUE('Sheet2'!O147)-VALUE('Sheet2'!O146)),ABS(VALUE('Sheet2'!P147)-VALUE('Sheet2'!P146)))/2</x:f>
        <x:v>0.0027499999999999972</x:v>
      </x:c>
      <x:c r="M147" t="n">
        <x:f>SUMSQ('Sheet2'!D147:P147)</x:f>
        <x:v>0.26247397</x:v>
      </x:c>
      <x:c r="N147" t="n">
        <x:f>VALUE('Sheet2'!D147)</x:f>
        <x:v>0.0165</x:v>
      </x:c>
    </x:row>
    <x:row r="148">
      <x:c r="A148" t="str">
        <x:f>'Sheet2'!A148</x:f>
        <x:v>2025-12-26</x:v>
      </x:c>
      <x:c r="B148" t="n">
        <x:f>VALUE('Sheet2'!B148)</x:f>
        <x:v>1.0671</x:v>
      </x:c>
      <x:c r="C148" t="n">
        <x:f>VALUE('Sheet2'!C148)</x:f>
        <x:v>1.1827</x:v>
      </x:c>
      <x:c r="D148" t="n">
        <x:f>IFERROR(B148/B147-1,"")</x:f>
        <x:v>0.02467831764931816</x:v>
      </x:c>
      <x:c r="E148" t="n">
        <x:f>IFERROR(C148/C147-1,"")</x:f>
        <x:v>0.019481079217309016</x:v>
      </x:c>
      <x:c r="F148" t="n">
        <x:f>IFERROR(D148-E148,"")</x:f>
        <x:v>0.005197238432009144</x:v>
      </x:c>
      <x:c r="G148" t="n">
        <x:f>MAX($B$2:B148)</x:f>
        <x:v>1.0671</x:v>
      </x:c>
      <x:c r="H148" t="n">
        <x:f>IFERROR(B148/G148-1,"")</x:f>
        <x:v>0</x:v>
      </x:c>
      <x:c r="I148" t="n">
        <x:f>MAX($C$2:C148)</x:f>
        <x:v>1.1882</x:v>
      </x:c>
      <x:c r="J148" t="n">
        <x:f>IFERROR(C148/I148-1,"")</x:f>
        <x:v>-0.0046288503618917565</x:v>
      </x:c>
      <x:c r="K148" t="n">
        <x:f>MAX(ABS(VALUE('Sheet2'!D148)-VALUE('Sheet2'!D147)),ABS(VALUE('Sheet2'!E148)-VALUE('Sheet2'!E147)),ABS(VALUE('Sheet2'!F148)-VALUE('Sheet2'!F147)),ABS(VALUE('Sheet2'!G148)-VALUE('Sheet2'!G147)),ABS(VALUE('Sheet2'!H148)-VALUE('Sheet2'!H147)),ABS(VALUE('Sheet2'!I148)-VALUE('Sheet2'!I147)),ABS(VALUE('Sheet2'!J148)-VALUE('Sheet2'!J147)),ABS(VALUE('Sheet2'!K148)-VALUE('Sheet2'!K147)),ABS(VALUE('Sheet2'!L148)-VALUE('Sheet2'!L147)),ABS(VALUE('Sheet2'!M148)-VALUE('Sheet2'!M147)),ABS(VALUE('Sheet2'!N148)-VALUE('Sheet2'!N147)),ABS(VALUE('Sheet2'!O148)-VALUE('Sheet2'!O147)),ABS(VALUE('Sheet2'!P148)-VALUE('Sheet2'!P147)))</x:f>
        <x:v>0.0040000000000000036</x:v>
      </x:c>
      <x:c r="L148" t="n">
        <x:f>SUM(ABS(VALUE('Sheet2'!D148)-VALUE('Sheet2'!D147)),ABS(VALUE('Sheet2'!E148)-VALUE('Sheet2'!E147)),ABS(VALUE('Sheet2'!F148)-VALUE('Sheet2'!F147)),ABS(VALUE('Sheet2'!G148)-VALUE('Sheet2'!G147)),ABS(VALUE('Sheet2'!H148)-VALUE('Sheet2'!H147)),ABS(VALUE('Sheet2'!I148)-VALUE('Sheet2'!I147)),ABS(VALUE('Sheet2'!J148)-VALUE('Sheet2'!J147)),ABS(VALUE('Sheet2'!K148)-VALUE('Sheet2'!K147)),ABS(VALUE('Sheet2'!L148)-VALUE('Sheet2'!L147)),ABS(VALUE('Sheet2'!M148)-VALUE('Sheet2'!M147)),ABS(VALUE('Sheet2'!N148)-VALUE('Sheet2'!N147)),ABS(VALUE('Sheet2'!O148)-VALUE('Sheet2'!O147)),ABS(VALUE('Sheet2'!P148)-VALUE('Sheet2'!P147)))/2</x:f>
        <x:v>0.0039499999999999934</x:v>
      </x:c>
      <x:c r="M148" t="n">
        <x:f>SUMSQ('Sheet2'!D148:P148)</x:f>
        <x:v>0.26497210000000004</x:v>
      </x:c>
      <x:c r="N148" t="n">
        <x:f>VALUE('Sheet2'!D148)</x:f>
        <x:v>0.0159</x:v>
      </x:c>
    </x:row>
    <x:row r="149">
      <x:c r="A149" t="str">
        <x:f>'Sheet2'!A149</x:f>
        <x:v>2025-12-31</x:v>
      </x:c>
      <x:c r="B149" t="n">
        <x:f>VALUE('Sheet2'!B149)</x:f>
        <x:v>1.0628</x:v>
      </x:c>
      <x:c r="C149" t="n">
        <x:f>VALUE('Sheet2'!C149)</x:f>
        <x:v>1.1758</x:v>
      </x:c>
      <x:c r="D149" t="n">
        <x:f>IFERROR(B149/B148-1,"")</x:f>
        <x:v>-0.0040296129697310334</x:v>
      </x:c>
      <x:c r="E149" t="n">
        <x:f>IFERROR(C149/C148-1,"")</x:f>
        <x:v>-0.005834108396043036</x:v>
      </x:c>
      <x:c r="F149" t="n">
        <x:f>IFERROR(D149-E149,"")</x:f>
        <x:v>0.0018044954263120028</x:v>
      </x:c>
      <x:c r="G149" t="n">
        <x:f>MAX($B$2:B149)</x:f>
        <x:v>1.0671</x:v>
      </x:c>
      <x:c r="H149" t="n">
        <x:f>IFERROR(B149/G149-1,"")</x:f>
        <x:v>-0.0040296129697310334</x:v>
      </x:c>
      <x:c r="I149" t="n">
        <x:f>MAX($C$2:C149)</x:f>
        <x:v>1.1882</x:v>
      </x:c>
      <x:c r="J149" t="n">
        <x:f>IFERROR(C149/I149-1,"")</x:f>
        <x:v>-0.010435953543174503</x:v>
      </x:c>
      <x:c r="K149" t="n">
        <x:f>MAX(ABS(VALUE('Sheet2'!D149)-VALUE('Sheet2'!D148)),ABS(VALUE('Sheet2'!E149)-VALUE('Sheet2'!E148)),ABS(VALUE('Sheet2'!F149)-VALUE('Sheet2'!F148)),ABS(VALUE('Sheet2'!G149)-VALUE('Sheet2'!G148)),ABS(VALUE('Sheet2'!H149)-VALUE('Sheet2'!H148)),ABS(VALUE('Sheet2'!I149)-VALUE('Sheet2'!I148)),ABS(VALUE('Sheet2'!J149)-VALUE('Sheet2'!J148)),ABS(VALUE('Sheet2'!K149)-VALUE('Sheet2'!K148)),ABS(VALUE('Sheet2'!L149)-VALUE('Sheet2'!L148)),ABS(VALUE('Sheet2'!M149)-VALUE('Sheet2'!M148)),ABS(VALUE('Sheet2'!N149)-VALUE('Sheet2'!N148)),ABS(VALUE('Sheet2'!O149)-VALUE('Sheet2'!O148)),ABS(VALUE('Sheet2'!P149)-VALUE('Sheet2'!P148)))</x:f>
        <x:v>0.0010000000000000009</x:v>
      </x:c>
      <x:c r="L149" t="n">
        <x:f>SUM(ABS(VALUE('Sheet2'!D149)-VALUE('Sheet2'!D148)),ABS(VALUE('Sheet2'!E149)-VALUE('Sheet2'!E148)),ABS(VALUE('Sheet2'!F149)-VALUE('Sheet2'!F148)),ABS(VALUE('Sheet2'!G149)-VALUE('Sheet2'!G148)),ABS(VALUE('Sheet2'!H149)-VALUE('Sheet2'!H148)),ABS(VALUE('Sheet2'!I149)-VALUE('Sheet2'!I148)),ABS(VALUE('Sheet2'!J149)-VALUE('Sheet2'!J148)),ABS(VALUE('Sheet2'!K149)-VALUE('Sheet2'!K148)),ABS(VALUE('Sheet2'!L149)-VALUE('Sheet2'!L148)),ABS(VALUE('Sheet2'!M149)-VALUE('Sheet2'!M148)),ABS(VALUE('Sheet2'!N149)-VALUE('Sheet2'!N148)),ABS(VALUE('Sheet2'!O149)-VALUE('Sheet2'!O148)),ABS(VALUE('Sheet2'!P149)-VALUE('Sheet2'!P148)))/2</x:f>
        <x:v>0.0014499999999999843</x:v>
      </x:c>
      <x:c r="M149" t="n">
        <x:f>SUMSQ('Sheet2'!D149:P149)</x:f>
        <x:v>0.26575331</x:v>
      </x:c>
      <x:c r="N149" t="n">
        <x:f>VALUE('Sheet2'!D149)</x:f>
        <x:v>0.0157</x:v>
      </x:c>
    </x:row>
    <x:row r="150">
      <x:c r="A150" t="str">
        <x:f>'Sheet2'!A150</x:f>
        <x:v>2026-01-09</x:v>
      </x:c>
      <x:c r="B150" t="n">
        <x:f>VALUE('Sheet2'!B150)</x:f>
        <x:v>1.107</x:v>
      </x:c>
      <x:c r="C150" t="n">
        <x:f>VALUE('Sheet2'!C150)</x:f>
        <x:v>1.2085</x:v>
      </x:c>
      <x:c r="D150" t="n">
        <x:f>IFERROR(B150/B149-1,"")</x:f>
        <x:v>0.041588257433195386</x:v>
      </x:c>
      <x:c r="E150" t="n">
        <x:f>IFERROR(C150/C149-1,"")</x:f>
        <x:v>0.02781085218574586</x:v>
      </x:c>
      <x:c r="F150" t="n">
        <x:f>IFERROR(D150-E150,"")</x:f>
        <x:v>0.013777405247449526</x:v>
      </x:c>
      <x:c r="G150" t="n">
        <x:f>MAX($B$2:B150)</x:f>
        <x:v>1.107</x:v>
      </x:c>
      <x:c r="H150" t="n">
        <x:f>IFERROR(B150/G150-1,"")</x:f>
        <x:v>0</x:v>
      </x:c>
      <x:c r="I150" t="n">
        <x:f>MAX($C$2:C150)</x:f>
        <x:v>1.2085</x:v>
      </x:c>
      <x:c r="J150" t="n">
        <x:f>IFERROR(C150/I150-1,"")</x:f>
        <x:v>0</x:v>
      </x:c>
      <x:c r="K150" t="n">
        <x:f>MAX(ABS(VALUE('Sheet2'!D150)-VALUE('Sheet2'!D149)),ABS(VALUE('Sheet2'!E150)-VALUE('Sheet2'!E149)),ABS(VALUE('Sheet2'!F150)-VALUE('Sheet2'!F149)),ABS(VALUE('Sheet2'!G150)-VALUE('Sheet2'!G149)),ABS(VALUE('Sheet2'!H150)-VALUE('Sheet2'!H149)),ABS(VALUE('Sheet2'!I150)-VALUE('Sheet2'!I149)),ABS(VALUE('Sheet2'!J150)-VALUE('Sheet2'!J149)),ABS(VALUE('Sheet2'!K150)-VALUE('Sheet2'!K149)),ABS(VALUE('Sheet2'!L150)-VALUE('Sheet2'!L149)),ABS(VALUE('Sheet2'!M150)-VALUE('Sheet2'!M149)),ABS(VALUE('Sheet2'!N150)-VALUE('Sheet2'!N149)),ABS(VALUE('Sheet2'!O150)-VALUE('Sheet2'!O149)),ABS(VALUE('Sheet2'!P150)-VALUE('Sheet2'!P149)))</x:f>
        <x:v>0.0048000000000000265</x:v>
      </x:c>
      <x:c r="L150" t="n">
        <x:f>SUM(ABS(VALUE('Sheet2'!D150)-VALUE('Sheet2'!D149)),ABS(VALUE('Sheet2'!E150)-VALUE('Sheet2'!E149)),ABS(VALUE('Sheet2'!F150)-VALUE('Sheet2'!F149)),ABS(VALUE('Sheet2'!G150)-VALUE('Sheet2'!G149)),ABS(VALUE('Sheet2'!H150)-VALUE('Sheet2'!H149)),ABS(VALUE('Sheet2'!I150)-VALUE('Sheet2'!I149)),ABS(VALUE('Sheet2'!J150)-VALUE('Sheet2'!J149)),ABS(VALUE('Sheet2'!K150)-VALUE('Sheet2'!K149)),ABS(VALUE('Sheet2'!L150)-VALUE('Sheet2'!L149)),ABS(VALUE('Sheet2'!M150)-VALUE('Sheet2'!M149)),ABS(VALUE('Sheet2'!N150)-VALUE('Sheet2'!N149)),ABS(VALUE('Sheet2'!O150)-VALUE('Sheet2'!O149)),ABS(VALUE('Sheet2'!P150)-VALUE('Sheet2'!P149)))/2</x:f>
        <x:v>0.0068000000000000066</x:v>
      </x:c>
      <x:c r="M150" t="n">
        <x:f>SUMSQ('Sheet2'!D150:P150)</x:f>
        <x:v>0.26929117</x:v>
      </x:c>
      <x:c r="N150" t="n">
        <x:f>VALUE('Sheet2'!D150)</x:f>
        <x:v>0.0147</x:v>
      </x:c>
    </x:row>
    <x:row r="151">
      <x:c r="A151" t="str">
        <x:f>'Sheet2'!A151</x:f>
        <x:v>2026-01-16</x:v>
      </x:c>
      <x:c r="B151" t="n">
        <x:f>VALUE('Sheet2'!B151)</x:f>
        <x:v>1.1133</x:v>
      </x:c>
      <x:c r="C151" t="n">
        <x:f>VALUE('Sheet2'!C151)</x:f>
        <x:v>1.2017</x:v>
      </x:c>
      <x:c r="D151" t="n">
        <x:f>IFERROR(B151/B150-1,"")</x:f>
        <x:v>0.005691056910569037</x:v>
      </x:c>
      <x:c r="E151" t="n">
        <x:f>IFERROR(C151/C150-1,"")</x:f>
        <x:v>-0.005626810095159196</x:v>
      </x:c>
      <x:c r="F151" t="n">
        <x:f>IFERROR(D151-E151,"")</x:f>
        <x:v>0.011317867005728233</x:v>
      </x:c>
      <x:c r="G151" t="n">
        <x:f>MAX($B$2:B151)</x:f>
        <x:v>1.1133</x:v>
      </x:c>
      <x:c r="H151" t="n">
        <x:f>IFERROR(B151/G151-1,"")</x:f>
        <x:v>0</x:v>
      </x:c>
      <x:c r="I151" t="n">
        <x:f>MAX($C$2:C151)</x:f>
        <x:v>1.2085</x:v>
      </x:c>
      <x:c r="J151" t="n">
        <x:f>IFERROR(C151/I151-1,"")</x:f>
        <x:v>-0.005626810095159196</x:v>
      </x:c>
      <x:c r="K151" t="n">
        <x:f>MAX(ABS(VALUE('Sheet2'!D151)-VALUE('Sheet2'!D150)),ABS(VALUE('Sheet2'!E151)-VALUE('Sheet2'!E150)),ABS(VALUE('Sheet2'!F151)-VALUE('Sheet2'!F150)),ABS(VALUE('Sheet2'!G151)-VALUE('Sheet2'!G150)),ABS(VALUE('Sheet2'!H151)-VALUE('Sheet2'!H150)),ABS(VALUE('Sheet2'!I151)-VALUE('Sheet2'!I150)),ABS(VALUE('Sheet2'!J151)-VALUE('Sheet2'!J150)),ABS(VALUE('Sheet2'!K151)-VALUE('Sheet2'!K150)),ABS(VALUE('Sheet2'!L151)-VALUE('Sheet2'!L150)),ABS(VALUE('Sheet2'!M151)-VALUE('Sheet2'!M150)),ABS(VALUE('Sheet2'!N151)-VALUE('Sheet2'!N150)),ABS(VALUE('Sheet2'!O151)-VALUE('Sheet2'!O150)),ABS(VALUE('Sheet2'!P151)-VALUE('Sheet2'!P150)))</x:f>
        <x:v>0.1028</x:v>
      </x:c>
      <x:c r="L151" t="n">
        <x:f>SUM(ABS(VALUE('Sheet2'!D151)-VALUE('Sheet2'!D150)),ABS(VALUE('Sheet2'!E151)-VALUE('Sheet2'!E150)),ABS(VALUE('Sheet2'!F151)-VALUE('Sheet2'!F150)),ABS(VALUE('Sheet2'!G151)-VALUE('Sheet2'!G150)),ABS(VALUE('Sheet2'!H151)-VALUE('Sheet2'!H150)),ABS(VALUE('Sheet2'!I151)-VALUE('Sheet2'!I150)),ABS(VALUE('Sheet2'!J151)-VALUE('Sheet2'!J150)),ABS(VALUE('Sheet2'!K151)-VALUE('Sheet2'!K150)),ABS(VALUE('Sheet2'!L151)-VALUE('Sheet2'!L150)),ABS(VALUE('Sheet2'!M151)-VALUE('Sheet2'!M150)),ABS(VALUE('Sheet2'!N151)-VALUE('Sheet2'!N150)),ABS(VALUE('Sheet2'!O151)-VALUE('Sheet2'!O150)),ABS(VALUE('Sheet2'!P151)-VALUE('Sheet2'!P150)))/2</x:f>
        <x:v>0.10435000000000001</x:v>
      </x:c>
      <x:c r="M151" t="n">
        <x:f>SUMSQ('Sheet2'!D151:P151)</x:f>
        <x:v>0.26760632</x:v>
      </x:c>
      <x:c r="N151" t="n">
        <x:f>VALUE('Sheet2'!D151)</x:f>
        <x:v>0.0189</x:v>
      </x:c>
    </x:row>
    <x:row r="152">
      <x:c r="A152" t="str">
        <x:f>'Sheet2'!A152</x:f>
        <x:v>2026-01-23</x:v>
      </x:c>
      <x:c r="B152" t="n">
        <x:f>VALUE('Sheet2'!B152)</x:f>
        <x:v>1.1334</x:v>
      </x:c>
      <x:c r="C152" t="n">
        <x:f>VALUE('Sheet2'!C152)</x:f>
        <x:v>1.1942</x:v>
      </x:c>
      <x:c r="D152" t="n">
        <x:f>IFERROR(B152/B151-1,"")</x:f>
        <x:v>0.018054432767448114</x:v>
      </x:c>
      <x:c r="E152" t="n">
        <x:f>IFERROR(C152/C151-1,"")</x:f>
        <x:v>-0.006241158358991528</x:v>
      </x:c>
      <x:c r="F152" t="n">
        <x:f>IFERROR(D152-E152,"")</x:f>
        <x:v>0.024295591126439642</x:v>
      </x:c>
      <x:c r="G152" t="n">
        <x:f>MAX($B$2:B152)</x:f>
        <x:v>1.1334</x:v>
      </x:c>
      <x:c r="H152" t="n">
        <x:f>IFERROR(B152/G152-1,"")</x:f>
        <x:v>0</x:v>
      </x:c>
      <x:c r="I152" t="n">
        <x:f>MAX($C$2:C152)</x:f>
        <x:v>1.2085</x:v>
      </x:c>
      <x:c r="J152" t="n">
        <x:f>IFERROR(C152/I152-1,"")</x:f>
        <x:v>-0.011832850641290804</x:v>
      </x:c>
      <x:c r="K152" t="n">
        <x:f>MAX(ABS(VALUE('Sheet2'!D152)-VALUE('Sheet2'!D151)),ABS(VALUE('Sheet2'!E152)-VALUE('Sheet2'!E151)),ABS(VALUE('Sheet2'!F152)-VALUE('Sheet2'!F151)),ABS(VALUE('Sheet2'!G152)-VALUE('Sheet2'!G151)),ABS(VALUE('Sheet2'!H152)-VALUE('Sheet2'!H151)),ABS(VALUE('Sheet2'!I152)-VALUE('Sheet2'!I151)),ABS(VALUE('Sheet2'!J152)-VALUE('Sheet2'!J151)),ABS(VALUE('Sheet2'!K152)-VALUE('Sheet2'!K151)),ABS(VALUE('Sheet2'!L152)-VALUE('Sheet2'!L151)),ABS(VALUE('Sheet2'!M152)-VALUE('Sheet2'!M151)),ABS(VALUE('Sheet2'!N152)-VALUE('Sheet2'!N151)),ABS(VALUE('Sheet2'!O152)-VALUE('Sheet2'!O151)),ABS(VALUE('Sheet2'!P152)-VALUE('Sheet2'!P151)))</x:f>
        <x:v>0.002799999999999997</x:v>
      </x:c>
      <x:c r="L152" t="n">
        <x:f>SUM(ABS(VALUE('Sheet2'!D152)-VALUE('Sheet2'!D151)),ABS(VALUE('Sheet2'!E152)-VALUE('Sheet2'!E151)),ABS(VALUE('Sheet2'!F152)-VALUE('Sheet2'!F151)),ABS(VALUE('Sheet2'!G152)-VALUE('Sheet2'!G151)),ABS(VALUE('Sheet2'!H152)-VALUE('Sheet2'!H151)),ABS(VALUE('Sheet2'!I152)-VALUE('Sheet2'!I151)),ABS(VALUE('Sheet2'!J152)-VALUE('Sheet2'!J151)),ABS(VALUE('Sheet2'!K152)-VALUE('Sheet2'!K151)),ABS(VALUE('Sheet2'!L152)-VALUE('Sheet2'!L151)),ABS(VALUE('Sheet2'!M152)-VALUE('Sheet2'!M151)),ABS(VALUE('Sheet2'!N152)-VALUE('Sheet2'!N151)),ABS(VALUE('Sheet2'!O152)-VALUE('Sheet2'!O151)),ABS(VALUE('Sheet2'!P152)-VALUE('Sheet2'!P151)))/2</x:f>
        <x:v>0.0055500000000000115</x:v>
      </x:c>
      <x:c r="M152" t="n">
        <x:f>SUMSQ('Sheet2'!D152:P152)</x:f>
        <x:v>0.26858115000000005</x:v>
      </x:c>
      <x:c r="N152" t="n">
        <x:f>VALUE('Sheet2'!D152)</x:f>
        <x:v>0.0183</x:v>
      </x:c>
    </x:row>
    <x:row r="153">
      <x:c r="A153" t="str">
        <x:f>'Sheet2'!A153</x:f>
        <x:v>2026-01-30</x:v>
      </x:c>
      <x:c r="B153" t="n">
        <x:f>VALUE('Sheet2'!B153)</x:f>
        <x:v>1.1235</x:v>
      </x:c>
      <x:c r="C153" t="n">
        <x:f>VALUE('Sheet2'!C153)</x:f>
        <x:v>1.1952</x:v>
      </x:c>
      <x:c r="D153" t="n">
        <x:f>IFERROR(B153/B152-1,"")</x:f>
        <x:v>-0.00873478030704078</x:v>
      </x:c>
      <x:c r="E153" t="n">
        <x:f>IFERROR(C153/C152-1,"")</x:f>
        <x:v>0.0008373806732542288</x:v>
      </x:c>
      <x:c r="F153" t="n">
        <x:f>IFERROR(D153-E153,"")</x:f>
        <x:v>-0.009572160980295008</x:v>
      </x:c>
      <x:c r="G153" t="n">
        <x:f>MAX($B$2:B153)</x:f>
        <x:v>1.1334</x:v>
      </x:c>
      <x:c r="H153" t="n">
        <x:f>IFERROR(B153/G153-1,"")</x:f>
        <x:v>-0.00873478030704078</x:v>
      </x:c>
      <x:c r="I153" t="n">
        <x:f>MAX($C$2:C153)</x:f>
        <x:v>1.2085</x:v>
      </x:c>
      <x:c r="J153" t="n">
        <x:f>IFERROR(C153/I153-1,"")</x:f>
        <x:v>-0.011005378568473168</x:v>
      </x:c>
      <x:c r="K153" t="n">
        <x:f>MAX(ABS(VALUE('Sheet2'!D153)-VALUE('Sheet2'!D152)),ABS(VALUE('Sheet2'!E153)-VALUE('Sheet2'!E152)),ABS(VALUE('Sheet2'!F153)-VALUE('Sheet2'!F152)),ABS(VALUE('Sheet2'!G153)-VALUE('Sheet2'!G152)),ABS(VALUE('Sheet2'!H153)-VALUE('Sheet2'!H152)),ABS(VALUE('Sheet2'!I153)-VALUE('Sheet2'!I152)),ABS(VALUE('Sheet2'!J153)-VALUE('Sheet2'!J152)),ABS(VALUE('Sheet2'!K153)-VALUE('Sheet2'!K152)),ABS(VALUE('Sheet2'!L153)-VALUE('Sheet2'!L152)),ABS(VALUE('Sheet2'!M153)-VALUE('Sheet2'!M152)),ABS(VALUE('Sheet2'!N153)-VALUE('Sheet2'!N152)),ABS(VALUE('Sheet2'!O153)-VALUE('Sheet2'!O152)),ABS(VALUE('Sheet2'!P153)-VALUE('Sheet2'!P152)))</x:f>
        <x:v>0.052100000000000035</x:v>
      </x:c>
      <x:c r="L153" t="n">
        <x:f>SUM(ABS(VALUE('Sheet2'!D153)-VALUE('Sheet2'!D152)),ABS(VALUE('Sheet2'!E153)-VALUE('Sheet2'!E152)),ABS(VALUE('Sheet2'!F153)-VALUE('Sheet2'!F152)),ABS(VALUE('Sheet2'!G153)-VALUE('Sheet2'!G152)),ABS(VALUE('Sheet2'!H153)-VALUE('Sheet2'!H152)),ABS(VALUE('Sheet2'!I153)-VALUE('Sheet2'!I152)),ABS(VALUE('Sheet2'!J153)-VALUE('Sheet2'!J152)),ABS(VALUE('Sheet2'!K153)-VALUE('Sheet2'!K152)),ABS(VALUE('Sheet2'!L153)-VALUE('Sheet2'!L152)),ABS(VALUE('Sheet2'!M153)-VALUE('Sheet2'!M152)),ABS(VALUE('Sheet2'!N153)-VALUE('Sheet2'!N152)),ABS(VALUE('Sheet2'!O153)-VALUE('Sheet2'!O152)),ABS(VALUE('Sheet2'!P153)-VALUE('Sheet2'!P152)))/2</x:f>
        <x:v>0.053850000000000016</x:v>
      </x:c>
      <x:c r="M153" t="n">
        <x:f>SUMSQ('Sheet2'!D153:P153)</x:f>
        <x:v>0.23248109999999997</x:v>
      </x:c>
      <x:c r="N153" t="n">
        <x:f>VALUE('Sheet2'!D153)</x:f>
        <x:v>0.0678</x:v>
      </x:c>
    </x:row>
    <x:row r="154">
      <x:c r="A154" t="str">
        <x:f>'Sheet2'!A154</x:f>
        <x:v>2026-02-06</x:v>
      </x:c>
      <x:c r="B154" t="n">
        <x:f>VALUE('Sheet2'!B154)</x:f>
        <x:v>1.1076</x:v>
      </x:c>
      <x:c r="C154" t="n">
        <x:f>VALUE('Sheet2'!C154)</x:f>
        <x:v>1.1792</x:v>
      </x:c>
      <x:c r="D154" t="n">
        <x:f>IFERROR(B154/B153-1,"")</x:f>
        <x:v>-0.014152202937249725</x:v>
      </x:c>
      <x:c r="E154" t="n">
        <x:f>IFERROR(C154/C153-1,"")</x:f>
        <x:v>-0.01338688085676043</x:v>
      </x:c>
      <x:c r="F154" t="n">
        <x:f>IFERROR(D154-E154,"")</x:f>
        <x:v>-0.0007653220804892946</x:v>
      </x:c>
      <x:c r="G154" t="n">
        <x:f>MAX($B$2:B154)</x:f>
        <x:v>1.1334</x:v>
      </x:c>
      <x:c r="H154" t="n">
        <x:f>IFERROR(B154/G154-1,"")</x:f>
        <x:v>-0.02276336686077296</x:v>
      </x:c>
      <x:c r="I154" t="n">
        <x:f>MAX($C$2:C154)</x:f>
        <x:v>1.2085</x:v>
      </x:c>
      <x:c r="J154" t="n">
        <x:f>IFERROR(C154/I154-1,"")</x:f>
        <x:v>-0.02424493173355391</x:v>
      </x:c>
      <x:c r="K154" t="n">
        <x:f>MAX(ABS(VALUE('Sheet2'!D154)-VALUE('Sheet2'!D153)),ABS(VALUE('Sheet2'!E154)-VALUE('Sheet2'!E153)),ABS(VALUE('Sheet2'!F154)-VALUE('Sheet2'!F153)),ABS(VALUE('Sheet2'!G154)-VALUE('Sheet2'!G153)),ABS(VALUE('Sheet2'!H154)-VALUE('Sheet2'!H153)),ABS(VALUE('Sheet2'!I154)-VALUE('Sheet2'!I153)),ABS(VALUE('Sheet2'!J154)-VALUE('Sheet2'!J153)),ABS(VALUE('Sheet2'!K154)-VALUE('Sheet2'!K153)),ABS(VALUE('Sheet2'!L154)-VALUE('Sheet2'!L153)),ABS(VALUE('Sheet2'!M154)-VALUE('Sheet2'!M153)),ABS(VALUE('Sheet2'!N154)-VALUE('Sheet2'!N153)),ABS(VALUE('Sheet2'!O154)-VALUE('Sheet2'!O153)),ABS(VALUE('Sheet2'!P154)-VALUE('Sheet2'!P153)))</x:f>
        <x:v>0.001799999999999996</x:v>
      </x:c>
      <x:c r="L154" t="n">
        <x:f>SUM(ABS(VALUE('Sheet2'!D154)-VALUE('Sheet2'!D153)),ABS(VALUE('Sheet2'!E154)-VALUE('Sheet2'!E153)),ABS(VALUE('Sheet2'!F154)-VALUE('Sheet2'!F153)),ABS(VALUE('Sheet2'!G154)-VALUE('Sheet2'!G153)),ABS(VALUE('Sheet2'!H154)-VALUE('Sheet2'!H153)),ABS(VALUE('Sheet2'!I154)-VALUE('Sheet2'!I153)),ABS(VALUE('Sheet2'!J154)-VALUE('Sheet2'!J153)),ABS(VALUE('Sheet2'!K154)-VALUE('Sheet2'!K153)),ABS(VALUE('Sheet2'!L154)-VALUE('Sheet2'!L153)),ABS(VALUE('Sheet2'!M154)-VALUE('Sheet2'!M153)),ABS(VALUE('Sheet2'!N154)-VALUE('Sheet2'!N153)),ABS(VALUE('Sheet2'!O154)-VALUE('Sheet2'!O153)),ABS(VALUE('Sheet2'!P154)-VALUE('Sheet2'!P153)))/2</x:f>
        <x:v>0.0031500000000000278</x:v>
      </x:c>
      <x:c r="M154" t="n">
        <x:f>SUMSQ('Sheet2'!D154:P154)</x:f>
        <x:v>0.23243527000000003</x:v>
      </x:c>
      <x:c r="N154" t="n">
        <x:f>VALUE('Sheet2'!D154)</x:f>
        <x:v>0.0684</x:v>
      </x:c>
    </x:row>
    <x:row r="155">
      <x:c r="A155" t="str">
        <x:f>'Sheet2'!A155</x:f>
        <x:v>2026-02-13</x:v>
      </x:c>
      <x:c r="B155" t="n">
        <x:f>VALUE('Sheet2'!B155)</x:f>
        <x:v>1.1159</x:v>
      </x:c>
      <x:c r="C155" t="n">
        <x:f>VALUE('Sheet2'!C155)</x:f>
        <x:v>1.1835</x:v>
      </x:c>
      <x:c r="D155" t="n">
        <x:f>IFERROR(B155/B154-1,"")</x:f>
        <x:v>0.00749368002889117</x:v>
      </x:c>
      <x:c r="E155" t="n">
        <x:f>IFERROR(C155/C154-1,"")</x:f>
        <x:v>0.0036465400271370463</x:v>
      </x:c>
      <x:c r="F155" t="n">
        <x:f>IFERROR(D155-E155,"")</x:f>
        <x:v>0.0038471400017541235</x:v>
      </x:c>
      <x:c r="G155" t="n">
        <x:f>MAX($B$2:B155)</x:f>
        <x:v>1.1334</x:v>
      </x:c>
      <x:c r="H155" t="n">
        <x:f>IFERROR(B155/G155-1,"")</x:f>
        <x:v>-0.015440268219516606</x:v>
      </x:c>
      <x:c r="I155" t="n">
        <x:f>MAX($C$2:C155)</x:f>
        <x:v>1.2085</x:v>
      </x:c>
      <x:c r="J155" t="n">
        <x:f>IFERROR(C155/I155-1,"")</x:f>
        <x:v>-0.020686801820438472</x:v>
      </x:c>
      <x:c r="K155" t="n">
        <x:f>MAX(ABS(VALUE('Sheet2'!D155)-VALUE('Sheet2'!D154)),ABS(VALUE('Sheet2'!E155)-VALUE('Sheet2'!E154)),ABS(VALUE('Sheet2'!F155)-VALUE('Sheet2'!F154)),ABS(VALUE('Sheet2'!G155)-VALUE('Sheet2'!G154)),ABS(VALUE('Sheet2'!H155)-VALUE('Sheet2'!H154)),ABS(VALUE('Sheet2'!I155)-VALUE('Sheet2'!I154)),ABS(VALUE('Sheet2'!J155)-VALUE('Sheet2'!J154)),ABS(VALUE('Sheet2'!K155)-VALUE('Sheet2'!K154)),ABS(VALUE('Sheet2'!L155)-VALUE('Sheet2'!L154)),ABS(VALUE('Sheet2'!M155)-VALUE('Sheet2'!M154)),ABS(VALUE('Sheet2'!N155)-VALUE('Sheet2'!N154)),ABS(VALUE('Sheet2'!O155)-VALUE('Sheet2'!O154)),ABS(VALUE('Sheet2'!P155)-VALUE('Sheet2'!P154)))</x:f>
        <x:v>0.0608</x:v>
      </x:c>
      <x:c r="L155" t="n">
        <x:f>SUM(ABS(VALUE('Sheet2'!D155)-VALUE('Sheet2'!D154)),ABS(VALUE('Sheet2'!E155)-VALUE('Sheet2'!E154)),ABS(VALUE('Sheet2'!F155)-VALUE('Sheet2'!F154)),ABS(VALUE('Sheet2'!G155)-VALUE('Sheet2'!G154)),ABS(VALUE('Sheet2'!H155)-VALUE('Sheet2'!H154)),ABS(VALUE('Sheet2'!I155)-VALUE('Sheet2'!I154)),ABS(VALUE('Sheet2'!J155)-VALUE('Sheet2'!J154)),ABS(VALUE('Sheet2'!K155)-VALUE('Sheet2'!K154)),ABS(VALUE('Sheet2'!L155)-VALUE('Sheet2'!L154)),ABS(VALUE('Sheet2'!M155)-VALUE('Sheet2'!M154)),ABS(VALUE('Sheet2'!N155)-VALUE('Sheet2'!N154)),ABS(VALUE('Sheet2'!O155)-VALUE('Sheet2'!O154)),ABS(VALUE('Sheet2'!P155)-VALUE('Sheet2'!P154)))/2</x:f>
        <x:v>0.0625</x:v>
      </x:c>
      <x:c r="M155" t="n">
        <x:f>SUMSQ('Sheet2'!D155:P155)</x:f>
        <x:v>0.23161199000000002</x:v>
      </x:c>
      <x:c r="N155" t="n">
        <x:f>VALUE('Sheet2'!D155)</x:f>
        <x:v>0.0076</x:v>
      </x:c>
    </x:row>
    <x:row r="156">
      <x:c r="A156" t="str">
        <x:f>'Sheet2'!A156</x:f>
        <x:v>2026-02-27</x:v>
      </x:c>
      <x:c r="B156" t="n">
        <x:f>VALUE('Sheet2'!B156)</x:f>
        <x:v>1.1462</x:v>
      </x:c>
      <x:c r="C156" t="n">
        <x:f>VALUE('Sheet2'!C156)</x:f>
        <x:v>1.1963</x:v>
      </x:c>
      <x:c r="D156" t="n">
        <x:f>IFERROR(B156/B155-1,"")</x:f>
        <x:v>0.027152970696299183</x:v>
      </x:c>
      <x:c r="E156" t="n">
        <x:f>IFERROR(C156/C155-1,"")</x:f>
        <x:v>0.010815378115758278</x:v>
      </x:c>
      <x:c r="F156" t="n">
        <x:f>IFERROR(D156-E156,"")</x:f>
        <x:v>0.016337592580540905</x:v>
      </x:c>
      <x:c r="G156" t="n">
        <x:f>MAX($B$2:B156)</x:f>
        <x:v>1.1462</x:v>
      </x:c>
      <x:c r="H156" t="n">
        <x:f>IFERROR(B156/G156-1,"")</x:f>
        <x:v>0</x:v>
      </x:c>
      <x:c r="I156" t="n">
        <x:f>MAX($C$2:C156)</x:f>
        <x:v>1.2085</x:v>
      </x:c>
      <x:c r="J156" t="n">
        <x:f>IFERROR(C156/I156-1,"")</x:f>
        <x:v>-0.010095159288374012</x:v>
      </x:c>
      <x:c r="K156" t="n">
        <x:f>MAX(ABS(VALUE('Sheet2'!D156)-VALUE('Sheet2'!D155)),ABS(VALUE('Sheet2'!E156)-VALUE('Sheet2'!E155)),ABS(VALUE('Sheet2'!F156)-VALUE('Sheet2'!F155)),ABS(VALUE('Sheet2'!G156)-VALUE('Sheet2'!G155)),ABS(VALUE('Sheet2'!H156)-VALUE('Sheet2'!H155)),ABS(VALUE('Sheet2'!I156)-VALUE('Sheet2'!I155)),ABS(VALUE('Sheet2'!J156)-VALUE('Sheet2'!J155)),ABS(VALUE('Sheet2'!K156)-VALUE('Sheet2'!K155)),ABS(VALUE('Sheet2'!L156)-VALUE('Sheet2'!L155)),ABS(VALUE('Sheet2'!M156)-VALUE('Sheet2'!M155)),ABS(VALUE('Sheet2'!N156)-VALUE('Sheet2'!N155)),ABS(VALUE('Sheet2'!O156)-VALUE('Sheet2'!O155)),ABS(VALUE('Sheet2'!P156)-VALUE('Sheet2'!P155)))</x:f>
        <x:v>0.06</x:v>
      </x:c>
      <x:c r="L156" t="n">
        <x:f>SUM(ABS(VALUE('Sheet2'!D156)-VALUE('Sheet2'!D155)),ABS(VALUE('Sheet2'!E156)-VALUE('Sheet2'!E155)),ABS(VALUE('Sheet2'!F156)-VALUE('Sheet2'!F155)),ABS(VALUE('Sheet2'!G156)-VALUE('Sheet2'!G155)),ABS(VALUE('Sheet2'!H156)-VALUE('Sheet2'!H155)),ABS(VALUE('Sheet2'!I156)-VALUE('Sheet2'!I155)),ABS(VALUE('Sheet2'!J156)-VALUE('Sheet2'!J155)),ABS(VALUE('Sheet2'!K156)-VALUE('Sheet2'!K155)),ABS(VALUE('Sheet2'!L156)-VALUE('Sheet2'!L155)),ABS(VALUE('Sheet2'!M156)-VALUE('Sheet2'!M155)),ABS(VALUE('Sheet2'!N156)-VALUE('Sheet2'!N155)),ABS(VALUE('Sheet2'!O156)-VALUE('Sheet2'!O155)),ABS(VALUE('Sheet2'!P156)-VALUE('Sheet2'!P155)))/2</x:f>
        <x:v>0.06314999999999998</x:v>
      </x:c>
      <x:c r="M156" t="n">
        <x:f>SUMSQ('Sheet2'!D156:P156)</x:f>
        <x:v>0.23433116000000004</x:v>
      </x:c>
      <x:c r="N156" t="n">
        <x:f>VALUE('Sheet2'!D156)</x:f>
        <x:v>0.0653</x:v>
      </x:c>
    </x:row>
    <x:row r="157">
      <x:c r="A157" t="str">
        <x:f>'Sheet2'!A157</x:f>
        <x:v>2026-03-06</x:v>
      </x:c>
      <x:c r="B157" t="n">
        <x:f>VALUE('Sheet2'!B157)</x:f>
        <x:v>1.1371</x:v>
      </x:c>
      <x:c r="C157" t="n">
        <x:f>VALUE('Sheet2'!C157)</x:f>
        <x:v>1.1835</x:v>
      </x:c>
      <x:c r="D157" t="n">
        <x:f>IFERROR(B157/B156-1,"")</x:f>
        <x:v>-0.007939277612982076</x:v>
      </x:c>
      <x:c r="E157" t="n">
        <x:f>IFERROR(C157/C156-1,"")</x:f>
        <x:v>-0.010699657276602825</x:v>
      </x:c>
      <x:c r="F157" t="n">
        <x:f>IFERROR(D157-E157,"")</x:f>
        <x:v>0.002760379663620749</x:v>
      </x:c>
      <x:c r="G157" t="n">
        <x:f>MAX($B$2:B157)</x:f>
        <x:v>1.1462</x:v>
      </x:c>
      <x:c r="H157" t="n">
        <x:f>IFERROR(B157/G157-1,"")</x:f>
        <x:v>-0.007939277612982076</x:v>
      </x:c>
      <x:c r="I157" t="n">
        <x:f>MAX($C$2:C157)</x:f>
        <x:v>1.2085</x:v>
      </x:c>
      <x:c r="J157" t="n">
        <x:f>IFERROR(C157/I157-1,"")</x:f>
        <x:v>-0.020686801820438472</x:v>
      </x:c>
      <x:c r="K157" t="n">
        <x:f>MAX(ABS(VALUE('Sheet2'!D157)-VALUE('Sheet2'!D156)),ABS(VALUE('Sheet2'!E157)-VALUE('Sheet2'!E156)),ABS(VALUE('Sheet2'!F157)-VALUE('Sheet2'!F156)),ABS(VALUE('Sheet2'!G157)-VALUE('Sheet2'!G156)),ABS(VALUE('Sheet2'!H157)-VALUE('Sheet2'!H156)),ABS(VALUE('Sheet2'!I157)-VALUE('Sheet2'!I156)),ABS(VALUE('Sheet2'!J157)-VALUE('Sheet2'!J156)),ABS(VALUE('Sheet2'!K157)-VALUE('Sheet2'!K156)),ABS(VALUE('Sheet2'!L157)-VALUE('Sheet2'!L156)),ABS(VALUE('Sheet2'!M157)-VALUE('Sheet2'!M156)),ABS(VALUE('Sheet2'!N157)-VALUE('Sheet2'!N156)),ABS(VALUE('Sheet2'!O157)-VALUE('Sheet2'!O156)),ABS(VALUE('Sheet2'!P157)-VALUE('Sheet2'!P156)))</x:f>
        <x:v>0.004599999999999993</x:v>
      </x:c>
      <x:c r="L157" t="n">
        <x:f>SUM(ABS(VALUE('Sheet2'!D157)-VALUE('Sheet2'!D156)),ABS(VALUE('Sheet2'!E157)-VALUE('Sheet2'!E156)),ABS(VALUE('Sheet2'!F157)-VALUE('Sheet2'!F156)),ABS(VALUE('Sheet2'!G157)-VALUE('Sheet2'!G156)),ABS(VALUE('Sheet2'!H157)-VALUE('Sheet2'!H156)),ABS(VALUE('Sheet2'!I157)-VALUE('Sheet2'!I156)),ABS(VALUE('Sheet2'!J157)-VALUE('Sheet2'!J156)),ABS(VALUE('Sheet2'!K157)-VALUE('Sheet2'!K156)),ABS(VALUE('Sheet2'!L157)-VALUE('Sheet2'!L156)),ABS(VALUE('Sheet2'!M157)-VALUE('Sheet2'!M156)),ABS(VALUE('Sheet2'!N157)-VALUE('Sheet2'!N156)),ABS(VALUE('Sheet2'!O157)-VALUE('Sheet2'!O156)),ABS(VALUE('Sheet2'!P157)-VALUE('Sheet2'!P156)))/2</x:f>
        <x:v>0.0063</x:v>
      </x:c>
      <x:c r="M157" t="n">
        <x:f>SUMSQ('Sheet2'!D157:P157)</x:f>
        <x:v>0.23312636</x:v>
      </x:c>
      <x:c r="N157" t="n">
        <x:f>VALUE('Sheet2'!D157)</x:f>
        <x:v>0.0655</x:v>
      </x:c>
    </x:row>
    <x:row r="158">
      <x:c r="A158" t="str">
        <x:f>'Sheet2'!A158</x:f>
        <x:v>2026-03-13</x:v>
      </x:c>
      <x:c r="B158" t="n">
        <x:f>VALUE('Sheet2'!B158)</x:f>
        <x:v>1.1295</x:v>
      </x:c>
      <x:c r="C158" t="n">
        <x:f>VALUE('Sheet2'!C158)</x:f>
        <x:v>1.1857</x:v>
      </x:c>
      <x:c r="D158" t="n">
        <x:f>IFERROR(B158/B157-1,"")</x:f>
        <x:v>-0.006683668982499391</x:v>
      </x:c>
      <x:c r="E158" t="n">
        <x:f>IFERROR(C158/C157-1,"")</x:f>
        <x:v>0.001858893113645843</x:v>
      </x:c>
      <x:c r="F158" t="n">
        <x:f>IFERROR(D158-E158,"")</x:f>
        <x:v>-0.008542562096145234</x:v>
      </x:c>
      <x:c r="G158" t="n">
        <x:f>MAX($B$2:B158)</x:f>
        <x:v>1.1462</x:v>
      </x:c>
      <x:c r="H158" t="n">
        <x:f>IFERROR(B158/G158-1,"")</x:f>
        <x:v>-0.01456988309195617</x:v>
      </x:c>
      <x:c r="I158" t="n">
        <x:f>MAX($C$2:C158)</x:f>
        <x:v>1.2085</x:v>
      </x:c>
      <x:c r="J158" t="n">
        <x:f>IFERROR(C158/I158-1,"")</x:f>
        <x:v>-0.018866363260239938</x:v>
      </x:c>
      <x:c r="K158" t="n">
        <x:f>MAX(ABS(VALUE('Sheet2'!D158)-VALUE('Sheet2'!D157)),ABS(VALUE('Sheet2'!E158)-VALUE('Sheet2'!E157)),ABS(VALUE('Sheet2'!F158)-VALUE('Sheet2'!F157)),ABS(VALUE('Sheet2'!G158)-VALUE('Sheet2'!G157)),ABS(VALUE('Sheet2'!H158)-VALUE('Sheet2'!H157)),ABS(VALUE('Sheet2'!I158)-VALUE('Sheet2'!I157)),ABS(VALUE('Sheet2'!J158)-VALUE('Sheet2'!J157)),ABS(VALUE('Sheet2'!K158)-VALUE('Sheet2'!K157)),ABS(VALUE('Sheet2'!L158)-VALUE('Sheet2'!L157)),ABS(VALUE('Sheet2'!M158)-VALUE('Sheet2'!M157)),ABS(VALUE('Sheet2'!N158)-VALUE('Sheet2'!N157)),ABS(VALUE('Sheet2'!O158)-VALUE('Sheet2'!O157)),ABS(VALUE('Sheet2'!P158)-VALUE('Sheet2'!P157)))</x:f>
        <x:v>0.036000000000000004</x:v>
      </x:c>
      <x:c r="L158" t="n">
        <x:f>SUM(ABS(VALUE('Sheet2'!D158)-VALUE('Sheet2'!D157)),ABS(VALUE('Sheet2'!E158)-VALUE('Sheet2'!E157)),ABS(VALUE('Sheet2'!F158)-VALUE('Sheet2'!F157)),ABS(VALUE('Sheet2'!G158)-VALUE('Sheet2'!G157)),ABS(VALUE('Sheet2'!H158)-VALUE('Sheet2'!H157)),ABS(VALUE('Sheet2'!I158)-VALUE('Sheet2'!I157)),ABS(VALUE('Sheet2'!J158)-VALUE('Sheet2'!J157)),ABS(VALUE('Sheet2'!K158)-VALUE('Sheet2'!K157)),ABS(VALUE('Sheet2'!L158)-VALUE('Sheet2'!L157)),ABS(VALUE('Sheet2'!M158)-VALUE('Sheet2'!M157)),ABS(VALUE('Sheet2'!N158)-VALUE('Sheet2'!N157)),ABS(VALUE('Sheet2'!O158)-VALUE('Sheet2'!O157)),ABS(VALUE('Sheet2'!P158)-VALUE('Sheet2'!P157)))/2</x:f>
        <x:v>0.03704999999999999</x:v>
      </x:c>
      <x:c r="M158" t="n">
        <x:f>SUMSQ('Sheet2'!D158:P158)</x:f>
        <x:v>0.21383515</x:v>
      </x:c>
      <x:c r="N158" t="n">
        <x:f>VALUE('Sheet2'!D158)</x:f>
        <x:v>0.1015</x:v>
      </x:c>
    </x:row>
    <x:row r="159">
      <x:c r="A159" t="str">
        <x:f>'Sheet2'!A159</x:f>
        <x:v>2026-03-20</x:v>
      </x:c>
      <x:c r="B159" t="n">
        <x:f>VALUE('Sheet2'!B159)</x:f>
        <x:v>1.0905</x:v>
      </x:c>
      <x:c r="C159" t="n">
        <x:f>VALUE('Sheet2'!C159)</x:f>
        <x:v>1.1598</x:v>
      </x:c>
      <x:c r="D159" t="n">
        <x:f>IFERROR(B159/B158-1,"")</x:f>
        <x:v>-0.03452855245683928</x:v>
      </x:c>
      <x:c r="E159" t="n">
        <x:f>IFERROR(C159/C158-1,"")</x:f>
        <x:v>-0.02184363667032141</x:v>
      </x:c>
      <x:c r="F159" t="n">
        <x:f>IFERROR(D159-E159,"")</x:f>
        <x:v>-0.01268491578651787</x:v>
      </x:c>
      <x:c r="G159" t="n">
        <x:f>MAX($B$2:B159)</x:f>
        <x:v>1.1462</x:v>
      </x:c>
      <x:c r="H159" t="n">
        <x:f>IFERROR(B159/G159-1,"")</x:f>
        <x:v>-0.048595358576164815</x:v>
      </x:c>
      <x:c r="I159" t="n">
        <x:f>MAX($C$2:C159)</x:f>
        <x:v>1.2085</x:v>
      </x:c>
      <x:c r="J159" t="n">
        <x:f>IFERROR(C159/I159-1,"")</x:f>
        <x:v>-0.040297889946214305</x:v>
      </x:c>
      <x:c r="K159" t="n">
        <x:f>MAX(ABS(VALUE('Sheet2'!D159)-VALUE('Sheet2'!D158)),ABS(VALUE('Sheet2'!E159)-VALUE('Sheet2'!E158)),ABS(VALUE('Sheet2'!F159)-VALUE('Sheet2'!F158)),ABS(VALUE('Sheet2'!G159)-VALUE('Sheet2'!G158)),ABS(VALUE('Sheet2'!H159)-VALUE('Sheet2'!H158)),ABS(VALUE('Sheet2'!I159)-VALUE('Sheet2'!I158)),ABS(VALUE('Sheet2'!J159)-VALUE('Sheet2'!J158)),ABS(VALUE('Sheet2'!K159)-VALUE('Sheet2'!K158)),ABS(VALUE('Sheet2'!L159)-VALUE('Sheet2'!L158)),ABS(VALUE('Sheet2'!M159)-VALUE('Sheet2'!M158)),ABS(VALUE('Sheet2'!N159)-VALUE('Sheet2'!N158)),ABS(VALUE('Sheet2'!O159)-VALUE('Sheet2'!O158)),ABS(VALUE('Sheet2'!P159)-VALUE('Sheet2'!P158)))</x:f>
        <x:v>0.0884</x:v>
      </x:c>
      <x:c r="L159" t="n">
        <x:f>SUM(ABS(VALUE('Sheet2'!D159)-VALUE('Sheet2'!D158)),ABS(VALUE('Sheet2'!E159)-VALUE('Sheet2'!E158)),ABS(VALUE('Sheet2'!F159)-VALUE('Sheet2'!F158)),ABS(VALUE('Sheet2'!G159)-VALUE('Sheet2'!G158)),ABS(VALUE('Sheet2'!H159)-VALUE('Sheet2'!H158)),ABS(VALUE('Sheet2'!I159)-VALUE('Sheet2'!I158)),ABS(VALUE('Sheet2'!J159)-VALUE('Sheet2'!J158)),ABS(VALUE('Sheet2'!K159)-VALUE('Sheet2'!K158)),ABS(VALUE('Sheet2'!L159)-VALUE('Sheet2'!L158)),ABS(VALUE('Sheet2'!M159)-VALUE('Sheet2'!M158)),ABS(VALUE('Sheet2'!N159)-VALUE('Sheet2'!N158)),ABS(VALUE('Sheet2'!O159)-VALUE('Sheet2'!O158)),ABS(VALUE('Sheet2'!P159)-VALUE('Sheet2'!P158)))/2</x:f>
        <x:v>0.09084999999999999</x:v>
      </x:c>
      <x:c r="M159" t="n">
        <x:f>SUMSQ('Sheet2'!D159:P159)</x:f>
        <x:v>0.26862868</x:v>
      </x:c>
      <x:c r="N159" t="n">
        <x:f>VALUE('Sheet2'!D159)</x:f>
        <x:v>0.0131</x:v>
      </x:c>
    </x:row>
    <x:row r="160">
      <x:c r="A160" t="str">
        <x:f>'Sheet2'!A160</x:f>
        <x:v>2026-03-27</x:v>
      </x:c>
      <x:c r="B160" t="n">
        <x:f>VALUE('Sheet2'!B160)</x:f>
        <x:v>1.0874</x:v>
      </x:c>
      <x:c r="C160" t="n">
        <x:f>VALUE('Sheet2'!C160)</x:f>
        <x:v>1.1434</x:v>
      </x:c>
      <x:c r="D160" t="n">
        <x:f>IFERROR(B160/B159-1,"")</x:f>
        <x:v>-0.0028427326914260975</x:v>
      </x:c>
      <x:c r="E160" t="n">
        <x:f>IFERROR(C160/C159-1,"")</x:f>
        <x:v>-0.014140369029142952</x:v>
      </x:c>
      <x:c r="F160" t="n">
        <x:f>IFERROR(D160-E160,"")</x:f>
        <x:v>0.011297636337716854</x:v>
      </x:c>
      <x:c r="G160" t="n">
        <x:f>MAX($B$2:B160)</x:f>
        <x:v>1.1462</x:v>
      </x:c>
      <x:c r="H160" t="n">
        <x:f>IFERROR(B160/G160-1,"")</x:f>
        <x:v>-0.05129994765311474</x:v>
      </x:c>
      <x:c r="I160" t="n">
        <x:f>MAX($C$2:C160)</x:f>
        <x:v>1.2085</x:v>
      </x:c>
      <x:c r="J160" t="n">
        <x:f>IFERROR(C160/I160-1,"")</x:f>
        <x:v>-0.05386843194042201</x:v>
      </x:c>
      <x:c r="K160" t="n">
        <x:f>MAX(ABS(VALUE('Sheet2'!D160)-VALUE('Sheet2'!D159)),ABS(VALUE('Sheet2'!E160)-VALUE('Sheet2'!E159)),ABS(VALUE('Sheet2'!F160)-VALUE('Sheet2'!F159)),ABS(VALUE('Sheet2'!G160)-VALUE('Sheet2'!G159)),ABS(VALUE('Sheet2'!H160)-VALUE('Sheet2'!H159)),ABS(VALUE('Sheet2'!I160)-VALUE('Sheet2'!I159)),ABS(VALUE('Sheet2'!J160)-VALUE('Sheet2'!J159)),ABS(VALUE('Sheet2'!K160)-VALUE('Sheet2'!K159)),ABS(VALUE('Sheet2'!L160)-VALUE('Sheet2'!L159)),ABS(VALUE('Sheet2'!M160)-VALUE('Sheet2'!M159)),ABS(VALUE('Sheet2'!N160)-VALUE('Sheet2'!N159)),ABS(VALUE('Sheet2'!O160)-VALUE('Sheet2'!O159)),ABS(VALUE('Sheet2'!P160)-VALUE('Sheet2'!P159)))</x:f>
        <x:v>0.0015000000000000013</x:v>
      </x:c>
      <x:c r="L160" t="n">
        <x:f>SUM(ABS(VALUE('Sheet2'!D160)-VALUE('Sheet2'!D159)),ABS(VALUE('Sheet2'!E160)-VALUE('Sheet2'!E159)),ABS(VALUE('Sheet2'!F160)-VALUE('Sheet2'!F159)),ABS(VALUE('Sheet2'!G160)-VALUE('Sheet2'!G159)),ABS(VALUE('Sheet2'!H160)-VALUE('Sheet2'!H159)),ABS(VALUE('Sheet2'!I160)-VALUE('Sheet2'!I159)),ABS(VALUE('Sheet2'!J160)-VALUE('Sheet2'!J159)),ABS(VALUE('Sheet2'!K160)-VALUE('Sheet2'!K159)),ABS(VALUE('Sheet2'!L160)-VALUE('Sheet2'!L159)),ABS(VALUE('Sheet2'!M160)-VALUE('Sheet2'!M159)),ABS(VALUE('Sheet2'!N160)-VALUE('Sheet2'!N159)),ABS(VALUE('Sheet2'!O160)-VALUE('Sheet2'!O159)),ABS(VALUE('Sheet2'!P160)-VALUE('Sheet2'!P159)))/2</x:f>
        <x:v>0.0031500000000000113</x:v>
      </x:c>
      <x:c r="M160" t="n">
        <x:f>SUMSQ('Sheet2'!D160:P160)</x:f>
        <x:v>0.26910779</x:v>
      </x:c>
      <x:c r="N160" t="n">
        <x:f>VALUE('Sheet2'!D160)</x:f>
        <x:v>0.0129</x:v>
      </x:c>
    </x:row>
    <x:row r="161">
      <x:c r="A161" t="str">
        <x:f>'Sheet2'!A161</x:f>
        <x:v>2026-03-31</x:v>
      </x:c>
      <x:c r="B161" t="n">
        <x:f>VALUE('Sheet2'!B161)</x:f>
        <x:v>1.0776</x:v>
      </x:c>
      <x:c r="C161" t="n">
        <x:f>VALUE('Sheet2'!C161)</x:f>
        <x:v>1.1301</x:v>
      </x:c>
      <x:c r="D161" t="n">
        <x:f>IFERROR(B161/B160-1,"")</x:f>
        <x:v>-0.009012322972227316</x:v>
      </x:c>
      <x:c r="E161" t="n">
        <x:f>IFERROR(C161/C160-1,"")</x:f>
        <x:v>-0.011631974811964207</x:v>
      </x:c>
      <x:c r="F161" t="n">
        <x:f>IFERROR(D161-E161,"")</x:f>
        <x:v>0.0026196518397368918</x:v>
      </x:c>
      <x:c r="G161" t="n">
        <x:f>MAX($B$2:B161)</x:f>
        <x:v>1.1462</x:v>
      </x:c>
      <x:c r="H161" t="n">
        <x:f>IFERROR(B161/G161-1,"")</x:f>
        <x:v>-0.05984993892863388</x:v>
      </x:c>
      <x:c r="I161" t="n">
        <x:f>MAX($C$2:C161)</x:f>
        <x:v>1.2085</x:v>
      </x:c>
      <x:c r="J161" t="n">
        <x:f>IFERROR(C161/I161-1,"")</x:f>
        <x:v>-0.06487381050889518</x:v>
      </x:c>
      <x:c r="K161" t="n">
        <x:f>MAX(ABS(VALUE('Sheet2'!D161)-VALUE('Sheet2'!D160)),ABS(VALUE('Sheet2'!E161)-VALUE('Sheet2'!E160)),ABS(VALUE('Sheet2'!F161)-VALUE('Sheet2'!F160)),ABS(VALUE('Sheet2'!G161)-VALUE('Sheet2'!G160)),ABS(VALUE('Sheet2'!H161)-VALUE('Sheet2'!H160)),ABS(VALUE('Sheet2'!I161)-VALUE('Sheet2'!I160)),ABS(VALUE('Sheet2'!J161)-VALUE('Sheet2'!J160)),ABS(VALUE('Sheet2'!K161)-VALUE('Sheet2'!K160)),ABS(VALUE('Sheet2'!L161)-VALUE('Sheet2'!L160)),ABS(VALUE('Sheet2'!M161)-VALUE('Sheet2'!M160)),ABS(VALUE('Sheet2'!N161)-VALUE('Sheet2'!N160)),ABS(VALUE('Sheet2'!O161)-VALUE('Sheet2'!O160)),ABS(VALUE('Sheet2'!P161)-VALUE('Sheet2'!P160)))</x:f>
        <x:v>0.0015000000000000013</x:v>
      </x:c>
      <x:c r="L161" t="n">
        <x:f>SUM(ABS(VALUE('Sheet2'!D161)-VALUE('Sheet2'!D160)),ABS(VALUE('Sheet2'!E161)-VALUE('Sheet2'!E160)),ABS(VALUE('Sheet2'!F161)-VALUE('Sheet2'!F160)),ABS(VALUE('Sheet2'!G161)-VALUE('Sheet2'!G160)),ABS(VALUE('Sheet2'!H161)-VALUE('Sheet2'!H160)),ABS(VALUE('Sheet2'!I161)-VALUE('Sheet2'!I160)),ABS(VALUE('Sheet2'!J161)-VALUE('Sheet2'!J160)),ABS(VALUE('Sheet2'!K161)-VALUE('Sheet2'!K160)),ABS(VALUE('Sheet2'!L161)-VALUE('Sheet2'!L160)),ABS(VALUE('Sheet2'!M161)-VALUE('Sheet2'!M160)),ABS(VALUE('Sheet2'!N161)-VALUE('Sheet2'!N160)),ABS(VALUE('Sheet2'!O161)-VALUE('Sheet2'!O160)),ABS(VALUE('Sheet2'!P161)-VALUE('Sheet2'!P160)))/2</x:f>
        <x:v>0.0021499999999999974</x:v>
      </x:c>
      <x:c r="M161" t="n">
        <x:f>SUMSQ('Sheet2'!D161:P161)</x:f>
        <x:v>0.26806398000000004</x:v>
      </x:c>
      <x:c r="N161" t="n">
        <x:f>VALUE('Sheet2'!D161)</x:f>
        <x:v>0.0128</x:v>
      </x:c>
    </x:row>
    <x:row r="162">
      <x:c r="A162" t="str">
        <x:f>'Sheet2'!A162</x:f>
        <x:v>2026-04-03</x:v>
      </x:c>
      <x:c r="B162" t="n">
        <x:f>VALUE('Sheet2'!B162)</x:f>
        <x:v>1.0718</x:v>
      </x:c>
      <x:c r="C162" t="n">
        <x:f>VALUE('Sheet2'!C162)</x:f>
        <x:v>1.1277</x:v>
      </x:c>
      <x:c r="D162" t="n">
        <x:f>IFERROR(B162/B161-1,"")</x:f>
        <x:v>-0.0053823311061617085</x:v>
      </x:c>
      <x:c r="E162" t="n">
        <x:f>IFERROR(C162/C161-1,"")</x:f>
        <x:v>-0.002123705866737602</x:v>
      </x:c>
      <x:c r="F162" t="n">
        <x:f>IFERROR(D162-E162,"")</x:f>
        <x:v>-0.0032586252394241066</x:v>
      </x:c>
      <x:c r="G162" t="n">
        <x:f>MAX($B$2:B162)</x:f>
        <x:v>1.1462</x:v>
      </x:c>
      <x:c r="H162" t="n">
        <x:f>IFERROR(B162/G162-1,"")</x:f>
        <x:v>-0.06491013784679811</x:v>
      </x:c>
      <x:c r="I162" t="n">
        <x:f>MAX($C$2:C162)</x:f>
        <x:v>1.2085</x:v>
      </x:c>
      <x:c r="J162" t="n">
        <x:f>IFERROR(C162/I162-1,"")</x:f>
        <x:v>-0.06685974348365742</x:v>
      </x:c>
      <x:c r="K162" t="n">
        <x:f>MAX(ABS(VALUE('Sheet2'!D162)-VALUE('Sheet2'!D161)),ABS(VALUE('Sheet2'!E162)-VALUE('Sheet2'!E161)),ABS(VALUE('Sheet2'!F162)-VALUE('Sheet2'!F161)),ABS(VALUE('Sheet2'!G162)-VALUE('Sheet2'!G161)),ABS(VALUE('Sheet2'!H162)-VALUE('Sheet2'!H161)),ABS(VALUE('Sheet2'!I162)-VALUE('Sheet2'!I161)),ABS(VALUE('Sheet2'!J162)-VALUE('Sheet2'!J161)),ABS(VALUE('Sheet2'!K162)-VALUE('Sheet2'!K161)),ABS(VALUE('Sheet2'!L162)-VALUE('Sheet2'!L161)),ABS(VALUE('Sheet2'!M162)-VALUE('Sheet2'!M161)),ABS(VALUE('Sheet2'!N162)-VALUE('Sheet2'!N161)),ABS(VALUE('Sheet2'!O162)-VALUE('Sheet2'!O161)),ABS(VALUE('Sheet2'!P162)-VALUE('Sheet2'!P161)))</x:f>
        <x:v>0.0023999999999999855</x:v>
      </x:c>
      <x:c r="L162" t="n">
        <x:f>SUM(ABS(VALUE('Sheet2'!D162)-VALUE('Sheet2'!D161)),ABS(VALUE('Sheet2'!E162)-VALUE('Sheet2'!E161)),ABS(VALUE('Sheet2'!F162)-VALUE('Sheet2'!F161)),ABS(VALUE('Sheet2'!G162)-VALUE('Sheet2'!G161)),ABS(VALUE('Sheet2'!H162)-VALUE('Sheet2'!H161)),ABS(VALUE('Sheet2'!I162)-VALUE('Sheet2'!I161)),ABS(VALUE('Sheet2'!J162)-VALUE('Sheet2'!J161)),ABS(VALUE('Sheet2'!K162)-VALUE('Sheet2'!K161)),ABS(VALUE('Sheet2'!L162)-VALUE('Sheet2'!L161)),ABS(VALUE('Sheet2'!M162)-VALUE('Sheet2'!M161)),ABS(VALUE('Sheet2'!N162)-VALUE('Sheet2'!N161)),ABS(VALUE('Sheet2'!O162)-VALUE('Sheet2'!O161)),ABS(VALUE('Sheet2'!P162)-VALUE('Sheet2'!P161)))/2</x:f>
        <x:v>0.0030499999999999824</x:v>
      </x:c>
      <x:c r="M162" t="n">
        <x:f>SUMSQ('Sheet2'!D162:P162)</x:f>
        <x:v>0.26728473</x:v>
      </x:c>
      <x:c r="N162" t="n">
        <x:f>VALUE('Sheet2'!D162)</x:f>
        <x:v>0.0127</x:v>
      </x:c>
    </x:row>
    <x:row r="163">
      <x:c r="A163" t="str">
        <x:f>'Sheet2'!A163</x:f>
        <x:v>2026-04-10</x:v>
      </x:c>
      <x:c r="B163" t="n">
        <x:f>VALUE('Sheet2'!B163)</x:f>
        <x:v>1.1126</x:v>
      </x:c>
      <x:c r="C163" t="n">
        <x:f>VALUE('Sheet2'!C163)</x:f>
        <x:v>1.1775</x:v>
      </x:c>
      <x:c r="D163" t="n">
        <x:f>IFERROR(B163/B162-1,"")</x:f>
        <x:v>0.038066803508117086</x:v>
      </x:c>
      <x:c r="E163" t="n">
        <x:f>IFERROR(C163/C162-1,"")</x:f>
        <x:v>0.04416068103218951</x:v>
      </x:c>
      <x:c r="F163" t="n">
        <x:f>IFERROR(D163-E163,"")</x:f>
        <x:v>-0.006093877524072422</x:v>
      </x:c>
      <x:c r="G163" t="n">
        <x:f>MAX($B$2:B163)</x:f>
        <x:v>1.1462</x:v>
      </x:c>
      <x:c r="H163" t="n">
        <x:f>IFERROR(B163/G163-1,"")</x:f>
        <x:v>-0.02931425580177982</x:v>
      </x:c>
      <x:c r="I163" t="n">
        <x:f>MAX($C$2:C163)</x:f>
        <x:v>1.2085</x:v>
      </x:c>
      <x:c r="J163" t="n">
        <x:f>IFERROR(C163/I163-1,"")</x:f>
        <x:v>-0.025651634257343736</x:v>
      </x:c>
      <x:c r="K163" t="n">
        <x:f>MAX(ABS(VALUE('Sheet2'!D163)-VALUE('Sheet2'!D162)),ABS(VALUE('Sheet2'!E163)-VALUE('Sheet2'!E162)),ABS(VALUE('Sheet2'!F163)-VALUE('Sheet2'!F162)),ABS(VALUE('Sheet2'!G163)-VALUE('Sheet2'!G162)),ABS(VALUE('Sheet2'!H163)-VALUE('Sheet2'!H162)),ABS(VALUE('Sheet2'!I163)-VALUE('Sheet2'!I162)),ABS(VALUE('Sheet2'!J163)-VALUE('Sheet2'!J162)),ABS(VALUE('Sheet2'!K163)-VALUE('Sheet2'!K162)),ABS(VALUE('Sheet2'!L163)-VALUE('Sheet2'!L162)),ABS(VALUE('Sheet2'!M163)-VALUE('Sheet2'!M162)),ABS(VALUE('Sheet2'!N163)-VALUE('Sheet2'!N162)),ABS(VALUE('Sheet2'!O163)-VALUE('Sheet2'!O162)),ABS(VALUE('Sheet2'!P163)-VALUE('Sheet2'!P162)))</x:f>
        <x:v>0.007699999999999985</x:v>
      </x:c>
      <x:c r="L163" t="n">
        <x:f>SUM(ABS(VALUE('Sheet2'!D163)-VALUE('Sheet2'!D162)),ABS(VALUE('Sheet2'!E163)-VALUE('Sheet2'!E162)),ABS(VALUE('Sheet2'!F163)-VALUE('Sheet2'!F162)),ABS(VALUE('Sheet2'!G163)-VALUE('Sheet2'!G162)),ABS(VALUE('Sheet2'!H163)-VALUE('Sheet2'!H162)),ABS(VALUE('Sheet2'!I163)-VALUE('Sheet2'!I162)),ABS(VALUE('Sheet2'!J163)-VALUE('Sheet2'!J162)),ABS(VALUE('Sheet2'!K163)-VALUE('Sheet2'!K162)),ABS(VALUE('Sheet2'!L163)-VALUE('Sheet2'!L162)),ABS(VALUE('Sheet2'!M163)-VALUE('Sheet2'!M162)),ABS(VALUE('Sheet2'!N163)-VALUE('Sheet2'!N162)),ABS(VALUE('Sheet2'!O163)-VALUE('Sheet2'!O162)),ABS(VALUE('Sheet2'!P163)-VALUE('Sheet2'!P162)))/2</x:f>
        <x:v>0.009799999999999972</x:v>
      </x:c>
      <x:c r="M163" t="n">
        <x:f>SUMSQ('Sheet2'!D163:P163)</x:f>
        <x:v>0.27139451000000003</x:v>
      </x:c>
      <x:c r="N163" t="n">
        <x:f>VALUE('Sheet2'!D163)</x:f>
        <x:v>0.012</x:v>
      </x:c>
    </x:row>
    <x:row r="164">
      <x:c r="A164" t="str">
        <x:f>'Sheet2'!A164</x:f>
        <x:v>2026-04-17</x:v>
      </x:c>
      <x:c r="B164" t="n">
        <x:f>VALUE('Sheet2'!B164)</x:f>
        <x:v>1.1423</x:v>
      </x:c>
      <x:c r="C164" t="n">
        <x:f>VALUE('Sheet2'!C164)</x:f>
        <x:v>1.2009</x:v>
      </x:c>
      <x:c r="D164" t="n">
        <x:f>IFERROR(B164/B163-1,"")</x:f>
        <x:v>0.02669422973215907</x:v>
      </x:c>
      <x:c r="E164" t="n">
        <x:f>IFERROR(C164/C163-1,"")</x:f>
        <x:v>0.019872611464968326</x:v>
      </x:c>
      <x:c r="F164" t="n">
        <x:f>IFERROR(D164-E164,"")</x:f>
        <x:v>0.006821618267190743</x:v>
      </x:c>
      <x:c r="G164" t="n">
        <x:f>MAX($B$2:B164)</x:f>
        <x:v>1.1462</x:v>
      </x:c>
      <x:c r="H164" t="n">
        <x:f>IFERROR(B164/G164-1,"")</x:f>
        <x:v>-0.0034025475484208423</x:v>
      </x:c>
      <x:c r="I164" t="n">
        <x:f>MAX($C$2:C164)</x:f>
        <x:v>1.2085</x:v>
      </x:c>
      <x:c r="J164" t="n">
        <x:f>IFERROR(C164/I164-1,"")</x:f>
        <x:v>-0.006288787753413128</x:v>
      </x:c>
      <x:c r="K164" t="n">
        <x:f>MAX(ABS(VALUE('Sheet2'!D164)-VALUE('Sheet2'!D163)),ABS(VALUE('Sheet2'!E164)-VALUE('Sheet2'!E163)),ABS(VALUE('Sheet2'!F164)-VALUE('Sheet2'!F163)),ABS(VALUE('Sheet2'!G164)-VALUE('Sheet2'!G163)),ABS(VALUE('Sheet2'!H164)-VALUE('Sheet2'!H163)),ABS(VALUE('Sheet2'!I164)-VALUE('Sheet2'!I163)),ABS(VALUE('Sheet2'!J164)-VALUE('Sheet2'!J163)),ABS(VALUE('Sheet2'!K164)-VALUE('Sheet2'!K163)),ABS(VALUE('Sheet2'!L164)-VALUE('Sheet2'!L163)),ABS(VALUE('Sheet2'!M164)-VALUE('Sheet2'!M163)),ABS(VALUE('Sheet2'!N164)-VALUE('Sheet2'!N163)),ABS(VALUE('Sheet2'!O164)-VALUE('Sheet2'!O163)),ABS(VALUE('Sheet2'!P164)-VALUE('Sheet2'!P163)))</x:f>
        <x:v>0.003400000000000014</x:v>
      </x:c>
      <x:c r="L164" t="n">
        <x:f>SUM(ABS(VALUE('Sheet2'!D164)-VALUE('Sheet2'!D163)),ABS(VALUE('Sheet2'!E164)-VALUE('Sheet2'!E163)),ABS(VALUE('Sheet2'!F164)-VALUE('Sheet2'!F163)),ABS(VALUE('Sheet2'!G164)-VALUE('Sheet2'!G163)),ABS(VALUE('Sheet2'!H164)-VALUE('Sheet2'!H163)),ABS(VALUE('Sheet2'!I164)-VALUE('Sheet2'!I163)),ABS(VALUE('Sheet2'!J164)-VALUE('Sheet2'!J163)),ABS(VALUE('Sheet2'!K164)-VALUE('Sheet2'!K163)),ABS(VALUE('Sheet2'!L164)-VALUE('Sheet2'!L163)),ABS(VALUE('Sheet2'!M164)-VALUE('Sheet2'!M163)),ABS(VALUE('Sheet2'!N164)-VALUE('Sheet2'!N163)),ABS(VALUE('Sheet2'!O164)-VALUE('Sheet2'!O163)),ABS(VALUE('Sheet2'!P164)-VALUE('Sheet2'!P163)))/2</x:f>
        <x:v>0.004750000000000016</x:v>
      </x:c>
      <x:c r="M164" t="n">
        <x:f>SUMSQ('Sheet2'!D164:P164)</x:f>
        <x:v>0.27388616000000005</x:v>
      </x:c>
      <x:c r="N164" t="n">
        <x:f>VALUE('Sheet2'!D164)</x:f>
        <x:v>0.0114</x:v>
      </x:c>
    </x:row>
    <x:row r="165">
      <x:c r="A165" t="str">
        <x:f>'Sheet2'!A165</x:f>
        <x:v>2026-04-24</x:v>
      </x:c>
      <x:c r="B165" t="n">
        <x:f>VALUE('Sheet2'!B165)</x:f>
        <x:v>1.1443</x:v>
      </x:c>
      <x:c r="C165" t="n">
        <x:f>VALUE('Sheet2'!C165)</x:f>
        <x:v>1.2112</x:v>
      </x:c>
      <x:c r="D165" t="n">
        <x:f>IFERROR(B165/B164-1,"")</x:f>
        <x:v>0.0017508535411012716</x:v>
      </x:c>
      <x:c r="E165" t="n">
        <x:f>IFERROR(C165/C164-1,"")</x:f>
        <x:v>0.008576900657840003</x:v>
      </x:c>
      <x:c r="F165" t="n">
        <x:f>IFERROR(D165-E165,"")</x:f>
        <x:v>-0.0068260471167387315</x:v>
      </x:c>
      <x:c r="G165" t="n">
        <x:f>MAX($B$2:B165)</x:f>
        <x:v>1.1462</x:v>
      </x:c>
      <x:c r="H165" t="n">
        <x:f>IFERROR(B165/G165-1,"")</x:f>
        <x:v>-0.0016576513697434958</x:v>
      </x:c>
      <x:c r="I165" t="n">
        <x:f>MAX($C$2:C165)</x:f>
        <x:v>1.2112</x:v>
      </x:c>
      <x:c r="J165" t="n">
        <x:f>IFERROR(C165/I165-1,"")</x:f>
        <x:v>0</x:v>
      </x:c>
      <x:c r="K165" t="n">
        <x:f>MAX(ABS(VALUE('Sheet2'!D165)-VALUE('Sheet2'!D164)),ABS(VALUE('Sheet2'!E165)-VALUE('Sheet2'!E164)),ABS(VALUE('Sheet2'!F165)-VALUE('Sheet2'!F164)),ABS(VALUE('Sheet2'!G165)-VALUE('Sheet2'!G164)),ABS(VALUE('Sheet2'!H165)-VALUE('Sheet2'!H164)),ABS(VALUE('Sheet2'!I165)-VALUE('Sheet2'!I164)),ABS(VALUE('Sheet2'!J165)-VALUE('Sheet2'!J164)),ABS(VALUE('Sheet2'!K165)-VALUE('Sheet2'!K164)),ABS(VALUE('Sheet2'!L165)-VALUE('Sheet2'!L164)),ABS(VALUE('Sheet2'!M165)-VALUE('Sheet2'!M164)),ABS(VALUE('Sheet2'!N165)-VALUE('Sheet2'!N164)),ABS(VALUE('Sheet2'!O165)-VALUE('Sheet2'!O164)),ABS(VALUE('Sheet2'!P165)-VALUE('Sheet2'!P164)))</x:f>
        <x:v>0.0007000000000000062</x:v>
      </x:c>
      <x:c r="L165" t="n">
        <x:f>SUM(ABS(VALUE('Sheet2'!D165)-VALUE('Sheet2'!D164)),ABS(VALUE('Sheet2'!E165)-VALUE('Sheet2'!E164)),ABS(VALUE('Sheet2'!F165)-VALUE('Sheet2'!F164)),ABS(VALUE('Sheet2'!G165)-VALUE('Sheet2'!G164)),ABS(VALUE('Sheet2'!H165)-VALUE('Sheet2'!H164)),ABS(VALUE('Sheet2'!I165)-VALUE('Sheet2'!I164)),ABS(VALUE('Sheet2'!J165)-VALUE('Sheet2'!J164)),ABS(VALUE('Sheet2'!K165)-VALUE('Sheet2'!K164)),ABS(VALUE('Sheet2'!L165)-VALUE('Sheet2'!L164)),ABS(VALUE('Sheet2'!M165)-VALUE('Sheet2'!M164)),ABS(VALUE('Sheet2'!N165)-VALUE('Sheet2'!N164)),ABS(VALUE('Sheet2'!O165)-VALUE('Sheet2'!O164)),ABS(VALUE('Sheet2'!P165)-VALUE('Sheet2'!P164)))/2</x:f>
        <x:v>0.0015499999999999906</x:v>
      </x:c>
      <x:c r="M165" t="n">
        <x:f>SUMSQ('Sheet2'!D165:P165)</x:f>
        <x:v>0.27444467000000006</x:v>
      </x:c>
      <x:c r="N165" t="n">
        <x:f>VALUE('Sheet2'!D165)</x:f>
        <x:v>0.011</x:v>
      </x:c>
    </x:row>
    <x:row r="166">
      <x:c r="A166" t="str">
        <x:f>'Sheet2'!A166</x:f>
        <x:v>2026-04-30</x:v>
      </x:c>
      <x:c r="B166" t="n">
        <x:f>VALUE('Sheet2'!B166)</x:f>
        <x:v>1.1576</x:v>
      </x:c>
      <x:c r="C166" t="n">
        <x:f>VALUE('Sheet2'!C166)</x:f>
        <x:v>1.2208</x:v>
      </x:c>
      <x:c r="D166" t="n">
        <x:f>IFERROR(B166/B165-1,"")</x:f>
        <x:v>0.0116228261819451</x:v>
      </x:c>
      <x:c r="E166" t="n">
        <x:f>IFERROR(C166/C165-1,"")</x:f>
        <x:v>0.00792602377807139</x:v>
      </x:c>
      <x:c r="F166" t="n">
        <x:f>IFERROR(D166-E166,"")</x:f>
        <x:v>0.0036968024038737113</x:v>
      </x:c>
      <x:c r="G166" t="n">
        <x:f>MAX($B$2:B166)</x:f>
        <x:v>1.1576</x:v>
      </x:c>
      <x:c r="H166" t="n">
        <x:f>IFERROR(B166/G166-1,"")</x:f>
        <x:v>0</x:v>
      </x:c>
      <x:c r="I166" t="n">
        <x:f>MAX($C$2:C166)</x:f>
        <x:v>1.2208</x:v>
      </x:c>
      <x:c r="J166" t="n">
        <x:f>IFERROR(C166/I166-1,"")</x:f>
        <x:v>0</x:v>
      </x:c>
      <x:c r="K166" t="n">
        <x:f>MAX(ABS(VALUE('Sheet2'!D166)-VALUE('Sheet2'!D165)),ABS(VALUE('Sheet2'!E166)-VALUE('Sheet2'!E165)),ABS(VALUE('Sheet2'!F166)-VALUE('Sheet2'!F165)),ABS(VALUE('Sheet2'!G166)-VALUE('Sheet2'!G165)),ABS(VALUE('Sheet2'!H166)-VALUE('Sheet2'!H165)),ABS(VALUE('Sheet2'!I166)-VALUE('Sheet2'!I165)),ABS(VALUE('Sheet2'!J166)-VALUE('Sheet2'!J165)),ABS(VALUE('Sheet2'!K166)-VALUE('Sheet2'!K165)),ABS(VALUE('Sheet2'!L166)-VALUE('Sheet2'!L165)),ABS(VALUE('Sheet2'!M166)-VALUE('Sheet2'!M165)),ABS(VALUE('Sheet2'!N166)-VALUE('Sheet2'!N165)),ABS(VALUE('Sheet2'!O166)-VALUE('Sheet2'!O165)),ABS(VALUE('Sheet2'!P166)-VALUE('Sheet2'!P165)))</x:f>
        <x:v>0.0010000000000000009</x:v>
      </x:c>
      <x:c r="L166" t="n">
        <x:f>SUM(ABS(VALUE('Sheet2'!D166)-VALUE('Sheet2'!D165)),ABS(VALUE('Sheet2'!E166)-VALUE('Sheet2'!E165)),ABS(VALUE('Sheet2'!F166)-VALUE('Sheet2'!F165)),ABS(VALUE('Sheet2'!G166)-VALUE('Sheet2'!G165)),ABS(VALUE('Sheet2'!H166)-VALUE('Sheet2'!H165)),ABS(VALUE('Sheet2'!I166)-VALUE('Sheet2'!I165)),ABS(VALUE('Sheet2'!J166)-VALUE('Sheet2'!J165)),ABS(VALUE('Sheet2'!K166)-VALUE('Sheet2'!K165)),ABS(VALUE('Sheet2'!L166)-VALUE('Sheet2'!L165)),ABS(VALUE('Sheet2'!M166)-VALUE('Sheet2'!M165)),ABS(VALUE('Sheet2'!N166)-VALUE('Sheet2'!N165)),ABS(VALUE('Sheet2'!O166)-VALUE('Sheet2'!O165)),ABS(VALUE('Sheet2'!P166)-VALUE('Sheet2'!P165)))/2</x:f>
        <x:v>0.0013500000000000066</x:v>
      </x:c>
      <x:c r="M166" t="n">
        <x:f>SUMSQ('Sheet2'!D166:P166)</x:f>
        <x:v>0.27496246</x:v>
      </x:c>
      <x:c r="N166" t="n">
        <x:f>VALUE('Sheet2'!D166)</x:f>
        <x:v>0.0107</x:v>
      </x:c>
    </x:row>
    <x:row r="167">
      <x:c r="A167" t="str">
        <x:f>'Sheet2'!A167</x:f>
        <x:v>2026-05-08</x:v>
      </x:c>
      <x:c r="B167" t="n">
        <x:f>VALUE('Sheet2'!B167)</x:f>
        <x:v>1.1965</x:v>
      </x:c>
      <x:c r="C167" t="n">
        <x:f>VALUE('Sheet2'!C167)</x:f>
        <x:v>1.2372</x:v>
      </x:c>
      <x:c r="D167" t="n">
        <x:f>IFERROR(B167/B166-1,"")</x:f>
        <x:v>0.033604008293020016</x:v>
      </x:c>
      <x:c r="E167" t="n">
        <x:f>IFERROR(C167/C166-1,"")</x:f>
        <x:v>0.0134338138925294</x:v>
      </x:c>
      <x:c r="F167" t="n">
        <x:f>IFERROR(D167-E167,"")</x:f>
        <x:v>0.020170194400490615</x:v>
      </x:c>
      <x:c r="G167" t="n">
        <x:f>MAX($B$2:B167)</x:f>
        <x:v>1.1965</x:v>
      </x:c>
      <x:c r="H167" t="n">
        <x:f>IFERROR(B167/G167-1,"")</x:f>
        <x:v>0</x:v>
      </x:c>
      <x:c r="I167" t="n">
        <x:f>MAX($C$2:C167)</x:f>
        <x:v>1.2372</x:v>
      </x:c>
      <x:c r="J167" t="n">
        <x:f>IFERROR(C167/I167-1,"")</x:f>
        <x:v>0</x:v>
      </x:c>
      <x:c r="K167" t="n">
        <x:f>MAX(ABS(VALUE('Sheet2'!D167)-VALUE('Sheet2'!D166)),ABS(VALUE('Sheet2'!E167)-VALUE('Sheet2'!E166)),ABS(VALUE('Sheet2'!F167)-VALUE('Sheet2'!F166)),ABS(VALUE('Sheet2'!G167)-VALUE('Sheet2'!G166)),ABS(VALUE('Sheet2'!H167)-VALUE('Sheet2'!H166)),ABS(VALUE('Sheet2'!I167)-VALUE('Sheet2'!I166)),ABS(VALUE('Sheet2'!J167)-VALUE('Sheet2'!J166)),ABS(VALUE('Sheet2'!K167)-VALUE('Sheet2'!K166)),ABS(VALUE('Sheet2'!L167)-VALUE('Sheet2'!L166)),ABS(VALUE('Sheet2'!M167)-VALUE('Sheet2'!M166)),ABS(VALUE('Sheet2'!N167)-VALUE('Sheet2'!N166)),ABS(VALUE('Sheet2'!O167)-VALUE('Sheet2'!O166)),ABS(VALUE('Sheet2'!P167)-VALUE('Sheet2'!P166)))</x:f>
        <x:v>0.0034999999999999476</x:v>
      </x:c>
      <x:c r="L167" t="n">
        <x:f>SUM(ABS(VALUE('Sheet2'!D167)-VALUE('Sheet2'!D166)),ABS(VALUE('Sheet2'!E167)-VALUE('Sheet2'!E166)),ABS(VALUE('Sheet2'!F167)-VALUE('Sheet2'!F166)),ABS(VALUE('Sheet2'!G167)-VALUE('Sheet2'!G166)),ABS(VALUE('Sheet2'!H167)-VALUE('Sheet2'!H166)),ABS(VALUE('Sheet2'!I167)-VALUE('Sheet2'!I166)),ABS(VALUE('Sheet2'!J167)-VALUE('Sheet2'!J166)),ABS(VALUE('Sheet2'!K167)-VALUE('Sheet2'!K166)),ABS(VALUE('Sheet2'!L167)-VALUE('Sheet2'!L166)),ABS(VALUE('Sheet2'!M167)-VALUE('Sheet2'!M166)),ABS(VALUE('Sheet2'!N167)-VALUE('Sheet2'!N166)),ABS(VALUE('Sheet2'!O167)-VALUE('Sheet2'!O166)),ABS(VALUE('Sheet2'!P167)-VALUE('Sheet2'!P166)))/2</x:f>
        <x:v>0.004949999999999986</x:v>
      </x:c>
      <x:c r="M167" t="n">
        <x:f>SUMSQ('Sheet2'!D167:P167)</x:f>
        <x:v>0.27745814999999996</x:v>
      </x:c>
      <x:c r="N167" t="n">
        <x:f>VALUE('Sheet2'!D167)</x:f>
        <x:v>0.01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37.0099983215332" hidden="0" customWidth="1"/>
  </x:cols>
  <x:sheetData>
    <x:row r="1">
      <x:c r="A1" s="33" t="str">
        <x:v>指标计算</x:v>
      </x:c>
      <x:c r="B1" s="33" t="str"/>
      <x:c r="C1" s="33" t="str"/>
      <x:c r="D1" s="33" t="str"/>
    </x:row>
    <x:row r="2">
      <x:c r="A2" s="35" t="str">
        <x:v>指标</x:v>
      </x:c>
      <x:c r="B2" s="35" t="str">
        <x:v>结果</x:v>
      </x:c>
      <x:c r="C2" s="35" t="str">
        <x:v>格式</x:v>
      </x:c>
      <x:c r="D2" s="35" t="str">
        <x:v>说明</x:v>
      </x:c>
    </x:row>
    <x:row r="3">
      <x:c r="A3" t="str">
        <x:v>产品名称</x:v>
      </x:c>
      <x:c r="B3" t="str">
        <x:v>尊享C3</x:v>
      </x:c>
      <x:c r="C3" t="str">
        <x:v>文本</x:v>
      </x:c>
      <x:c r="D3" t="str">
        <x:v>用于 UI 产品名称和报告标题</x:v>
      </x:c>
    </x:row>
    <x:row r="4">
      <x:c r="A4" t="str">
        <x:v>数据起始日</x:v>
      </x:c>
      <x:c r="B4" s="27" t="str">
        <x:f>'时序计算'!A2</x:f>
        <x:v>2023-05-12</x:v>
      </x:c>
      <x:c r="C4" t="str">
        <x:v>yyyy-mm-dd</x:v>
      </x:c>
      <x:c r="D4" t="str">
        <x:v>第一条净值日期</x:v>
      </x:c>
    </x:row>
    <x:row r="5">
      <x:c r="A5" t="str">
        <x:v>最新日期</x:v>
      </x:c>
      <x:c r="B5" s="27" t="str">
        <x:f>INDEX('时序计算'!$A$2:$A$167,COUNTA('时序计算'!$A$2:$A$167))</x:f>
        <x:v>2026-05-08</x:v>
      </x:c>
      <x:c r="C5" t="str">
        <x:v>yyyy-mm-dd</x:v>
      </x:c>
      <x:c r="D5" t="str">
        <x:v>最后一条净值日期</x:v>
      </x:c>
    </x:row>
    <x:row r="6">
      <x:c r="A6" t="str">
        <x:v>最新净值</x:v>
      </x:c>
      <x:c r="B6" s="28" t="n">
        <x:f>INDEX('时序计算'!$B$2:$B$167,COUNTA('时序计算'!$B$2:$B$167))</x:f>
        <x:v>1.1965</x:v>
      </x:c>
      <x:c r="C6" t="str">
        <x:v>0.0000</x:v>
      </x:c>
      <x:c r="D6" t="str">
        <x:v>最后一期产品净值</x:v>
      </x:c>
    </x:row>
    <x:row r="7">
      <x:c r="A7" t="str">
        <x:v>最新基准净值</x:v>
      </x:c>
      <x:c r="B7" s="28" t="n">
        <x:f>INDEX('时序计算'!$C$2:$C$167,COUNTA('时序计算'!$C$2:$C$167))</x:f>
        <x:v>1.2372</x:v>
      </x:c>
      <x:c r="C7" t="str">
        <x:v>0.0000</x:v>
      </x:c>
      <x:c r="D7" t="str">
        <x:v>最后一期基准净值</x:v>
      </x:c>
    </x:row>
    <x:row r="8">
      <x:c r="A8" t="str">
        <x:v>累计收益</x:v>
      </x:c>
      <x:c r="B8" s="10" t="n">
        <x:f>B6/'时序计算'!B2-1</x:f>
        <x:v>0.1964999999999999</x:v>
      </x:c>
      <x:c r="C8" t="str">
        <x:v>0.00%</x:v>
      </x:c>
      <x:c r="D8" t="str">
        <x:v>最新净值 / 起始净值 - 1</x:v>
      </x:c>
    </x:row>
    <x:row r="9">
      <x:c r="A9" t="str">
        <x:v>基准累计收益</x:v>
      </x:c>
      <x:c r="B9" s="10" t="n">
        <x:f>B7/'时序计算'!C2-1</x:f>
        <x:v>0.23720000000000008</x:v>
      </x:c>
      <x:c r="C9" t="str">
        <x:v>0.00%</x:v>
      </x:c>
      <x:c r="D9" t="str">
        <x:v>最新基准 / 起始基准 - 1</x:v>
      </x:c>
    </x:row>
    <x:row r="10">
      <x:c r="A10" t="str">
        <x:v>累计超额收益</x:v>
      </x:c>
      <x:c r="B10" s="10" t="n">
        <x:f>B8-B9</x:f>
        <x:v>-0.04070000000000018</x:v>
      </x:c>
      <x:c r="C10" t="str">
        <x:v>0.00%</x:v>
      </x:c>
      <x:c r="D10" t="str">
        <x:v>累计收益 - 基准累计收益</x:v>
      </x:c>
    </x:row>
    <x:row r="11">
      <x:c r="A11" t="str">
        <x:v>年化收益</x:v>
      </x:c>
      <x:c r="B11" s="10" t="n">
        <x:f>(1+B8)^(365/(DATEVALUE(B5)-DATEVALUE(B4)))-1</x:f>
        <x:v>0.06179884749923681</x:v>
      </x:c>
      <x:c r="C11" t="str">
        <x:v>0.00%</x:v>
      </x:c>
      <x:c r="D11" t="str">
        <x:v>按实际日历天数年化</x:v>
      </x:c>
    </x:row>
    <x:row r="12">
      <x:c r="A12" t="str">
        <x:v>基准年化收益</x:v>
      </x:c>
      <x:c r="B12" s="10" t="n">
        <x:f>(1+B9)^(365/(DATEVALUE(B5)-DATEVALUE(B4)))-1</x:f>
        <x:v>0.07373709135487161</x:v>
      </x:c>
      <x:c r="C12" t="str">
        <x:v>0.00%</x:v>
      </x:c>
      <x:c r="D12" t="str">
        <x:v>基准按实际日历天数年化</x:v>
      </x:c>
    </x:row>
    <x:row r="13">
      <x:c r="A13" t="str">
        <x:v>年化超额收益</x:v>
      </x:c>
      <x:c r="B13" s="10" t="n">
        <x:f>B11-B12</x:f>
        <x:v>-0.0119382438556348</x:v>
      </x:c>
      <x:c r="C13" t="str">
        <x:v>0.00%</x:v>
      </x:c>
      <x:c r="D13" t="str">
        <x:v>年化收益 - 基准年化收益</x:v>
      </x:c>
    </x:row>
    <x:row r="14">
      <x:c r="A14" t="str">
        <x:v>年化波动率</x:v>
      </x:c>
      <x:c r="B14" s="10" t="n">
        <x:f>STDEV.S('时序计算'!D3:D167)*SQRT(B31)</x:f>
        <x:v>0.10367211129355233</x:v>
      </x:c>
      <x:c r="C14" t="str">
        <x:v>0.00%</x:v>
      </x:c>
      <x:c r="D14" t="str">
        <x:v>区间收益率样本标准差 × √年化频率</x:v>
      </x:c>
    </x:row>
    <x:row r="15">
      <x:c r="A15" t="str">
        <x:v>基准年化波动率</x:v>
      </x:c>
      <x:c r="B15" s="10" t="n">
        <x:f>STDEV.S('时序计算'!E3:E167)*SQRT(B31)</x:f>
        <x:v>0.16901540197376969</x:v>
      </x:c>
      <x:c r="C15" t="str">
        <x:v>0.00%</x:v>
      </x:c>
      <x:c r="D15" t="str">
        <x:v>基准区间收益率样本标准差 × √年化频率</x:v>
      </x:c>
    </x:row>
    <x:row r="16">
      <x:c r="A16" t="str">
        <x:v>跟踪误差</x:v>
      </x:c>
      <x:c r="B16" s="10" t="n">
        <x:f>STDEV.S('时序计算'!F3:F167)*SQRT(B31)</x:f>
        <x:v>0.11782471837346492</x:v>
      </x:c>
      <x:c r="C16" t="str">
        <x:v>0.00%</x:v>
      </x:c>
      <x:c r="D16" t="str">
        <x:v>超额收益率样本标准差 × √年化频率</x:v>
      </x:c>
    </x:row>
    <x:row r="17">
      <x:c r="A17" t="str">
        <x:v>夏普比率</x:v>
      </x:c>
      <x:c r="B17" s="11" t="n">
        <x:f>IFERROR((B11-B29)/B14,0)</x:f>
        <x:v>0.3549541630828679</x:v>
      </x:c>
      <x:c r="C17" t="str">
        <x:v>0.00</x:v>
      </x:c>
      <x:c r="D17" t="str">
        <x:v>（年化收益 - 无风险利率）/ 年化波动率</x:v>
      </x:c>
    </x:row>
    <x:row r="18">
      <x:c r="A18" t="str">
        <x:v>信息比率</x:v>
      </x:c>
      <x:c r="B18" s="11" t="n">
        <x:f>IFERROR(B13/B16,0)</x:f>
        <x:v>-0.10132206569588025</x:v>
      </x:c>
      <x:c r="C18" t="str">
        <x:v>0.00</x:v>
      </x:c>
      <x:c r="D18" t="str">
        <x:v>年化超额收益 / 跟踪误差</x:v>
      </x:c>
    </x:row>
    <x:row r="19">
      <x:c r="A19" t="str">
        <x:v>最大回撤</x:v>
      </x:c>
      <x:c r="B19" s="10" t="n">
        <x:f>MIN('时序计算'!H2:H167)</x:f>
        <x:v>-0.17251606524962937</x:v>
      </x:c>
      <x:c r="C19" t="str">
        <x:v>0.00%</x:v>
      </x:c>
      <x:c r="D19" t="str">
        <x:v>历史净值相对前高的最大跌幅</x:v>
      </x:c>
    </x:row>
    <x:row r="20">
      <x:c r="A20" t="str">
        <x:v>当前回撤</x:v>
      </x:c>
      <x:c r="B20" s="10" t="n">
        <x:f>INDEX('时序计算'!H2:H167,COUNTA('时序计算'!H2:H167))</x:f>
        <x:v>0</x:v>
      </x:c>
      <x:c r="C20" t="str">
        <x:v>0.00%</x:v>
      </x:c>
      <x:c r="D20" t="str">
        <x:v>最新净值相对历史前高的跌幅</x:v>
      </x:c>
    </x:row>
    <x:row r="21">
      <x:c r="A21" t="str">
        <x:v>回撤观察期(日)</x:v>
      </x:c>
      <x:c r="B21" s="11" t="n">
        <x:f>DATEVALUE(B5)-DATEVALUE(LOOKUP(2,1/('时序计算'!$B$2:$B$167=MAX('时序计算'!$B$2:$B$167)),'时序计算'!$A$2:$A$167))</x:f>
        <x:v>0</x:v>
      </x:c>
      <x:c r="C21" t="str">
        <x:v>0</x:v>
      </x:c>
      <x:c r="D21" t="str">
        <x:v>最新日期距最近一次创新高的天数</x:v>
      </x:c>
    </x:row>
    <x:row r="22">
      <x:c r="A22" t="str">
        <x:v>卡玛比率</x:v>
      </x:c>
      <x:c r="B22" s="11" t="n">
        <x:f>IFERROR(B11/ABS(B19),0)</x:f>
        <x:v>0.3582208266216504</x:v>
      </x:c>
      <x:c r="C22" t="str">
        <x:v>0.00</x:v>
      </x:c>
      <x:c r="D22" t="str">
        <x:v>年化收益 / 最大回撤绝对值</x:v>
      </x:c>
    </x:row>
    <x:row r="23">
      <x:c r="A23" t="str">
        <x:v>相对基准胜率</x:v>
      </x:c>
      <x:c r="B23" s="10" t="n">
        <x:f>COUNTIF('时序计算'!F3:F167,"&gt;0")/COUNT('时序计算'!F3:F167)</x:f>
        <x:v>0.5575757575757576</x:v>
      </x:c>
      <x:c r="C23" t="str">
        <x:v>0.00%</x:v>
      </x:c>
      <x:c r="D23" t="str">
        <x:v>区间超额收益为正的比例</x:v>
      </x:c>
    </x:row>
    <x:row r="24">
      <x:c r="A24" t="str">
        <x:v>单期最大调仓</x:v>
      </x:c>
      <x:c r="B24" s="10" t="n">
        <x:f>MAX('时序计算'!K3:K167)</x:f>
        <x:v>0.30050000000000004</x:v>
      </x:c>
      <x:c r="C24" t="str">
        <x:v>0.00%</x:v>
      </x:c>
      <x:c r="D24" t="str">
        <x:v>相邻两期单一策略权重变化的最大值</x:v>
      </x:c>
    </x:row>
    <x:row r="25">
      <x:c r="A25" t="str">
        <x:v>累计调仓幅度</x:v>
      </x:c>
      <x:c r="B25" s="10" t="n">
        <x:f>SUM('时序计算'!L3:L167)</x:f>
        <x:v>6.5310500000000005</x:v>
      </x:c>
      <x:c r="C25" t="str">
        <x:v>0.00%</x:v>
      </x:c>
      <x:c r="D25" t="str">
        <x:v>各期组合换手的累计值，单期换手=Σ|权重变化|/2</x:v>
      </x:c>
    </x:row>
    <x:row r="26">
      <x:c r="A26" t="str">
        <x:v>策略集中度(HHI)</x:v>
      </x:c>
      <x:c r="B26" s="11" t="n">
        <x:f>INDEX('时序计算'!M2:M167,COUNTA('时序计算'!M2:M167))</x:f>
        <x:v>0.27745814999999996</x:v>
      </x:c>
      <x:c r="C26" t="str">
        <x:v>0.00</x:v>
      </x:c>
      <x:c r="D26" t="str">
        <x:v>最新一期各策略权重平方和</x:v>
      </x:c>
    </x:row>
    <x:row r="27">
      <x:c r="A27" t="str">
        <x:v>平均现金仓位</x:v>
      </x:c>
      <x:c r="B27" s="10" t="n">
        <x:f>AVERAGE('时序计算'!N2:N167)</x:f>
        <x:v>0.10554819277108428</x:v>
      </x:c>
      <x:c r="C27" t="str">
        <x:v>0.00%</x:v>
      </x:c>
      <x:c r="D27" t="str">
        <x:v>现金策略权重均值</x:v>
      </x:c>
    </x:row>
    <x:row r="28">
      <x:c r="A28" t="str">
        <x:v>最新现金仓位</x:v>
      </x:c>
      <x:c r="B28" s="10" t="n">
        <x:f>INDEX('时序计算'!N2:N167,COUNTA('时序计算'!N2:N167))</x:f>
        <x:v>0.01</x:v>
      </x:c>
      <x:c r="C28" t="str">
        <x:v>0.00%</x:v>
      </x:c>
      <x:c r="D28" t="str">
        <x:v>最新一期现金策略权重</x:v>
      </x:c>
    </x:row>
    <x:row r="29">
      <x:c r="A29" t="str">
        <x:v>无风险利率</x:v>
      </x:c>
      <x:c r="B29" s="10" t="n">
        <x:v>0.025</x:v>
      </x:c>
      <x:c r="C29" t="str">
        <x:v>0.00%</x:v>
      </x:c>
      <x:c r="D29" t="str">
        <x:v>夏普比率使用的年化无风险利率假设</x:v>
      </x:c>
    </x:row>
    <x:row r="30">
      <x:c r="A30" t="str">
        <x:v>平均相邻日期间隔</x:v>
      </x:c>
      <x:c r="B30" s="11" t="n">
        <x:f>(DATEVALUE(B5)-DATEVALUE(B4))/(COUNTA('时序计算'!A2:A167)-1)</x:f>
        <x:v>6.618181818181818</x:v>
      </x:c>
      <x:c r="C30" t="str">
        <x:v>0.00</x:v>
      </x:c>
      <x:c r="D30" t="str">
        <x:v>用于将样本波动率年化</x:v>
      </x:c>
    </x:row>
    <x:row r="31">
      <x:c r="A31" t="str">
        <x:v>年化频率</x:v>
      </x:c>
      <x:c r="B31" s="11" t="n">
        <x:f>365/B30</x:f>
        <x:v>55.1510989010989</x:v>
      </x:c>
      <x:c r="C31" t="str">
        <x:v>0.00</x:v>
      </x:c>
      <x:c r="D31" t="str">
        <x:v>365 / 平均相邻日期间隔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47.779998779296875" hidden="0" customWidth="1"/>
    <x:col min="3" max="3" width="47.779998779296875" hidden="0" customWidth="1"/>
  </x:cols>
  <x:sheetData>
    <x:row r="1">
      <x:c r="A1" s="30" t="str">
        <x:v>指标</x:v>
      </x:c>
      <x:c r="B1" s="30" t="str">
        <x:v>定义</x:v>
      </x:c>
      <x:c r="C1" s="30" t="str">
        <x:v>Excel 计算公式/口径</x:v>
      </x:c>
    </x:row>
    <x:row r="2">
      <x:c r="A2" s="12" t="str">
        <x:v>累计收益</x:v>
      </x:c>
      <x:c r="B2" s="12" t="str">
        <x:v>产品自起始日至最新日期的累计涨跌幅。</x:v>
      </x:c>
      <x:c r="C2" s="12" t="str">
        <x:v>=最新净值/起始净值-1</x:v>
      </x:c>
    </x:row>
    <x:row r="3">
      <x:c r="A3" s="12" t="str">
        <x:v>年化收益</x:v>
      </x:c>
      <x:c r="B3" s="12" t="str">
        <x:v>将累计收益按实际日历天数折算成年化收益。</x:v>
      </x:c>
      <x:c r="C3" s="12" t="str">
        <x:v>=(1+累计收益)^(365/区间天数)-1</x:v>
      </x:c>
    </x:row>
    <x:row r="4">
      <x:c r="A4" s="12" t="str">
        <x:v>区间收益率</x:v>
      </x:c>
      <x:c r="B4" s="12" t="str">
        <x:v>相邻两期净值的收益率。</x:v>
      </x:c>
      <x:c r="C4" s="12" t="str">
        <x:v>=本期净值/上期净值-1</x:v>
      </x:c>
    </x:row>
    <x:row r="5">
      <x:c r="A5" s="12" t="str">
        <x:v>年化波动率</x:v>
      </x:c>
      <x:c r="B5" s="12" t="str">
        <x:v>区间收益率的样本标准差按数据频率年化。</x:v>
      </x:c>
      <x:c r="C5" s="12" t="str">
        <x:v>=STDEV.S(区间收益率)*SQRT(365/平均相邻日期间隔)</x:v>
      </x:c>
    </x:row>
    <x:row r="6">
      <x:c r="A6" s="12" t="str">
        <x:v>夏普比率</x:v>
      </x:c>
      <x:c r="B6" s="12" t="str">
        <x:v>单位总风险获得的超额收益。</x:v>
      </x:c>
      <x:c r="C6" s="12" t="str">
        <x:v>=(年化收益-无风险利率)/年化波动率；本表无风险利率为 2.50%</x:v>
      </x:c>
    </x:row>
    <x:row r="7">
      <x:c r="A7" s="12" t="str">
        <x:v>最大回撤</x:v>
      </x:c>
      <x:c r="B7" s="12" t="str">
        <x:v>历史任一点净值相对此前最高净值的最大跌幅。</x:v>
      </x:c>
      <x:c r="C7" s="12" t="str">
        <x:v>=MIN(净值/累计最高净值-1)</x:v>
      </x:c>
    </x:row>
    <x:row r="8">
      <x:c r="A8" s="12" t="str">
        <x:v>当前回撤</x:v>
      </x:c>
      <x:c r="B8" s="12" t="str">
        <x:v>最新净值相对历史最高净值的跌幅。</x:v>
      </x:c>
      <x:c r="C8" s="12" t="str">
        <x:v>=最新净值/历史最高净值-1</x:v>
      </x:c>
    </x:row>
    <x:row r="9">
      <x:c r="A9" s="12" t="str">
        <x:v>回撤观察期(日)</x:v>
      </x:c>
      <x:c r="B9" s="12" t="str">
        <x:v>最新日期距最近一次净值创新高的自然日数。</x:v>
      </x:c>
      <x:c r="C9" s="12" t="str">
        <x:v>=最新日期-最近一次历史最高净值日期</x:v>
      </x:c>
    </x:row>
    <x:row r="10">
      <x:c r="A10" s="12" t="str">
        <x:v>卡玛比率</x:v>
      </x:c>
      <x:c r="B10" s="12" t="str">
        <x:v>年化收益相对最大回撤的补偿。</x:v>
      </x:c>
      <x:c r="C10" s="12" t="str">
        <x:v>=年化收益/ABS(最大回撤)</x:v>
      </x:c>
    </x:row>
    <x:row r="11">
      <x:c r="A11" s="12" t="str">
        <x:v>跟踪误差</x:v>
      </x:c>
      <x:c r="B11" s="12" t="str">
        <x:v>产品区间收益与基准区间收益之差的年化波动。</x:v>
      </x:c>
      <x:c r="C11" s="12" t="str">
        <x:v>=STDEV.S(产品区间收益-基准区间收益)*SQRT(年化频率)</x:v>
      </x:c>
    </x:row>
    <x:row r="12">
      <x:c r="A12" s="12" t="str">
        <x:v>信息比率</x:v>
      </x:c>
      <x:c r="B12" s="12" t="str">
        <x:v>单位主动风险获得的年化超额收益。</x:v>
      </x:c>
      <x:c r="C12" s="12" t="str">
        <x:v>=年化超额收益/跟踪误差</x:v>
      </x:c>
    </x:row>
    <x:row r="13">
      <x:c r="A13" s="12" t="str">
        <x:v>相对基准胜率</x:v>
      </x:c>
      <x:c r="B13" s="12" t="str">
        <x:v>区间超额收益大于 0 的期数占比。</x:v>
      </x:c>
      <x:c r="C13" s="12" t="str">
        <x:v>=COUNTIF(超额收益,"&gt;0")/COUNT(超额收益)</x:v>
      </x:c>
    </x:row>
    <x:row r="14">
      <x:c r="A14" s="12" t="str">
        <x:v>单期最大调仓</x:v>
      </x:c>
      <x:c r="B14" s="12" t="str">
        <x:v>相邻两期中，任一策略权重变化的最大绝对值。</x:v>
      </x:c>
      <x:c r="C14" s="12" t="str">
        <x:v>=MAX(ABS(本期各策略权重-上期各策略权重))</x:v>
      </x:c>
    </x:row>
    <x:row r="15">
      <x:c r="A15" s="12" t="str">
        <x:v>累计调仓幅度</x:v>
      </x:c>
      <x:c r="B15" s="12" t="str">
        <x:v>各期组合换手幅度累计，反映策略切换强度。</x:v>
      </x:c>
      <x:c r="C15" s="12" t="str">
        <x:v>=SUM(每期 Σ|权重变化|/2)</x:v>
      </x:c>
    </x:row>
    <x:row r="16">
      <x:c r="A16" s="12" t="str">
        <x:v>策略集中度(HHI)</x:v>
      </x:c>
      <x:c r="B16" s="12" t="str">
        <x:v>最新一期策略权重平方和，越高代表集中度越高。</x:v>
      </x:c>
      <x:c r="C16" s="12" t="str">
        <x:v>=SUMSQ(最新一期各策略权重)</x:v>
      </x:c>
    </x:row>
    <x:row r="17">
      <x:c r="A17" s="12" t="str">
        <x:v>平均现金仓位</x:v>
      </x:c>
      <x:c r="B17" s="12" t="str">
        <x:v>样本期间现金权重均值。</x:v>
      </x:c>
      <x:c r="C17" s="12" t="str">
        <x:v>=AVERAGE(现金仓位序列)</x:v>
      </x:c>
    </x:row>
  </x:sheetData>
  <x:pageMargins left="0.7" right="0.7" top="0.75" bottom="0.75" header="0.3" footer="0.3"/>
</x:worksheet>
</file>